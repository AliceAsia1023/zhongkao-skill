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深户AC类" sheetId="1" r:id="rId1"/>
  </sheets>
  <definedNames>
    <definedName name="_xlnm._FilterDatabase" localSheetId="0" hidden="1">深户AC类!$A$3:$Q$143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34B1AAE6239141BD9992B61299DB7125" descr="梧桐论坛2026中考群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58150" y="1254760"/>
          <a:ext cx="3360420" cy="411543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<sst xmlns="http://schemas.openxmlformats.org/spreadsheetml/2006/main" count="449" uniqueCount="176">
  <si>
    <t>梧桐论坛中考志愿定位表（深户版）
梧桐中考QQ群：576379614</t>
  </si>
  <si>
    <t>个人情况说明：
1、深户/非深户（使用不同表格）
2、定位每一次大考孩子的年级排位情况，以此判断孩子成绩的波动率。
3、确定孩子性格特点：鼓励型/坚韧型（用于定位激进/保守）
4、原则上讲，上浮动20分，下浮动30分，每5分一档，向下50分保底。最后两档向下60分和70分。</t>
  </si>
  <si>
    <t>区间</t>
  </si>
  <si>
    <t>学校全名</t>
  </si>
  <si>
    <t>地区</t>
  </si>
  <si>
    <t>是否勾选走读调剂</t>
  </si>
  <si>
    <t>志愿顺序</t>
  </si>
  <si>
    <r>
      <rPr>
        <b/>
        <sz val="9"/>
        <color rgb="FF000000"/>
        <rFont val="微软雅黑"/>
        <charset val="134"/>
      </rPr>
      <t xml:space="preserve">25年
排位
</t>
    </r>
    <r>
      <rPr>
        <b/>
        <sz val="9"/>
        <color rgb="FFFF0000"/>
        <rFont val="微软雅黑"/>
        <charset val="134"/>
      </rPr>
      <t>住宿</t>
    </r>
  </si>
  <si>
    <t>24年
排位</t>
  </si>
  <si>
    <t>23年排名</t>
  </si>
  <si>
    <t>22年排名</t>
  </si>
  <si>
    <t>21年排名</t>
  </si>
  <si>
    <r>
      <rPr>
        <b/>
        <sz val="9"/>
        <rFont val="微软雅黑"/>
        <charset val="134"/>
      </rPr>
      <t xml:space="preserve">25年分数
</t>
    </r>
    <r>
      <rPr>
        <b/>
        <sz val="9"/>
        <color rgb="FFFF0000"/>
        <rFont val="微软雅黑"/>
        <charset val="134"/>
      </rPr>
      <t>住宿</t>
    </r>
  </si>
  <si>
    <r>
      <rPr>
        <b/>
        <sz val="9"/>
        <rFont val="微软雅黑"/>
        <charset val="134"/>
      </rPr>
      <t xml:space="preserve">25年分数
</t>
    </r>
    <r>
      <rPr>
        <b/>
        <sz val="9"/>
        <color rgb="FFFF0000"/>
        <rFont val="微软雅黑"/>
        <charset val="134"/>
      </rPr>
      <t>走读</t>
    </r>
  </si>
  <si>
    <t>24年分数</t>
  </si>
  <si>
    <t>23年分数</t>
  </si>
  <si>
    <t>22年分数</t>
  </si>
  <si>
    <t>21年分数</t>
  </si>
  <si>
    <t>走读降分幅度</t>
  </si>
  <si>
    <t>A+</t>
  </si>
  <si>
    <t>深圳中学</t>
  </si>
  <si>
    <t>罗湖</t>
  </si>
  <si>
    <t>深圳实验学校（高中部）</t>
  </si>
  <si>
    <t>南山</t>
  </si>
  <si>
    <t>深圳市高级中学中心校区</t>
  </si>
  <si>
    <t>福田</t>
  </si>
  <si>
    <t>深圳外国语学校</t>
  </si>
  <si>
    <t>盐田</t>
  </si>
  <si>
    <t>A</t>
  </si>
  <si>
    <t>红岭中学</t>
  </si>
  <si>
    <t>育才中学</t>
  </si>
  <si>
    <t>宝安中学（集团）高中部</t>
  </si>
  <si>
    <t>宝安</t>
  </si>
  <si>
    <t>深圳大学附属中学（深大附中）</t>
  </si>
  <si>
    <t>北师大南山附属学校高中部</t>
  </si>
  <si>
    <t>深圳科学高中</t>
  </si>
  <si>
    <t>龙岗</t>
  </si>
  <si>
    <t>深圳市南山外国语学校（集团）高级中学</t>
  </si>
  <si>
    <t>深圳市第二高级中学</t>
  </si>
  <si>
    <t>翠园中学</t>
  </si>
  <si>
    <t>龙城高级中学</t>
  </si>
  <si>
    <t>南方科技大学附属中学</t>
  </si>
  <si>
    <t>龙华高级中学</t>
  </si>
  <si>
    <t>龙华</t>
  </si>
  <si>
    <t>人大附中深圳学校</t>
  </si>
  <si>
    <t>大鹏</t>
  </si>
  <si>
    <t>深圳市第二实验学校</t>
  </si>
  <si>
    <t>深圳实验学校光明高中部</t>
  </si>
  <si>
    <t>光明</t>
  </si>
  <si>
    <t>深圳外国语学校龙华高中部</t>
  </si>
  <si>
    <t>广东实验中学深圳学校</t>
  </si>
  <si>
    <t>育才中学蛇口校区</t>
  </si>
  <si>
    <t>-</t>
  </si>
  <si>
    <t>深圳市高级中学东校区</t>
  </si>
  <si>
    <t>坪山</t>
  </si>
  <si>
    <t>新安中学（集团）高中部</t>
  </si>
  <si>
    <t>深圳大学附属实验中学</t>
  </si>
  <si>
    <t>深圳科学高中龙岗分校</t>
  </si>
  <si>
    <t>华中师范大学龙岗附属中学</t>
  </si>
  <si>
    <t>深圳北理莫斯科大学附属实验中学</t>
  </si>
  <si>
    <t>中国科学院深圳理工大学附属实验高级中学</t>
  </si>
  <si>
    <t>南头中学</t>
  </si>
  <si>
    <t>东北师范大学附属中学深圳学校</t>
  </si>
  <si>
    <t>盐田高级中学</t>
  </si>
  <si>
    <t>深圳市红山中学</t>
  </si>
  <si>
    <t>深圳市格致中学</t>
  </si>
  <si>
    <t>南山实验集团华侨城中学</t>
  </si>
  <si>
    <t>深圳市龙岗区实验高级中学</t>
  </si>
  <si>
    <t>香港中文大学（深圳）附属明德高级中学</t>
  </si>
  <si>
    <t>B+</t>
  </si>
  <si>
    <t>深圳市高级中学创新高中</t>
  </si>
  <si>
    <t>罗湖外语学校</t>
  </si>
  <si>
    <t>松岗中学</t>
  </si>
  <si>
    <t>福田中学</t>
  </si>
  <si>
    <t>宝安第一外国语学校</t>
  </si>
  <si>
    <t>深圳技术大学附属中学</t>
  </si>
  <si>
    <t>深圳第二外国语学校</t>
  </si>
  <si>
    <t>龙津中学</t>
  </si>
  <si>
    <t>西浦基础教育集团外国语高级中学（原福外高）</t>
  </si>
  <si>
    <t>深圳市第三高级中学（国内高考班）</t>
  </si>
  <si>
    <t>深圳市高级中学理慧高中</t>
  </si>
  <si>
    <t>罗湖高级中学</t>
  </si>
  <si>
    <t>深圳市燕川中学</t>
  </si>
  <si>
    <t>深圳市红岭教育集团大鹏华侨中学</t>
  </si>
  <si>
    <t>平冈中学</t>
  </si>
  <si>
    <t>深圳市高级中学有为高中</t>
  </si>
  <si>
    <t>不参加排名</t>
  </si>
  <si>
    <t>深圳外国语学校弘知高中</t>
  </si>
  <si>
    <t>西乡中学</t>
  </si>
  <si>
    <t>深圳市高级中学文博高中</t>
  </si>
  <si>
    <t>深圳实验学校明理高中</t>
  </si>
  <si>
    <t>深圳实验学校崇文高中</t>
  </si>
  <si>
    <t>光明区高级中学</t>
  </si>
  <si>
    <t>深圳市龙华外国语高级中学</t>
  </si>
  <si>
    <t>深圳市福海中学</t>
  </si>
  <si>
    <t>深圳市第七高级中学</t>
  </si>
  <si>
    <t>深圳市第一职业技术学校（综合高中）</t>
  </si>
  <si>
    <t>/</t>
  </si>
  <si>
    <t>深圳实验学校卓越高中</t>
  </si>
  <si>
    <t>深圳市致理中学</t>
  </si>
  <si>
    <t>深圳实验学校至臻高中</t>
  </si>
  <si>
    <t>深圳外国语学校博雅高中</t>
  </si>
  <si>
    <t>北京大学附属中学深圳学校</t>
  </si>
  <si>
    <t>观澜中学</t>
  </si>
  <si>
    <t>深圳外国语学校致远高中</t>
  </si>
  <si>
    <t>坪山高级中学</t>
  </si>
  <si>
    <t>深圳市盐港中学（综合高中）</t>
  </si>
  <si>
    <t>深圳市行知职业技术学校（综合高中）</t>
  </si>
  <si>
    <t>深圳外国语学校理工高中</t>
  </si>
  <si>
    <t>深圳市龙华科技实验高级中学</t>
  </si>
  <si>
    <t>2024新增</t>
  </si>
  <si>
    <t>B</t>
  </si>
  <si>
    <t>深圳市聚龙科学中学</t>
  </si>
  <si>
    <t>宝安中学（集团）石岩外国语学校</t>
  </si>
  <si>
    <t>光明中学</t>
  </si>
  <si>
    <t>横岗高级中学</t>
  </si>
  <si>
    <t>龙华中学</t>
  </si>
  <si>
    <t>深圳市第二实验学校明远高中</t>
  </si>
  <si>
    <t>龙岗二高（布吉高级中学）</t>
  </si>
  <si>
    <t>平湖外国语学校</t>
  </si>
  <si>
    <t>深中科技高中</t>
  </si>
  <si>
    <t>深汕</t>
  </si>
  <si>
    <t>沙井中学</t>
  </si>
  <si>
    <t>深圳中学数理高中</t>
  </si>
  <si>
    <t>深中实验高中</t>
  </si>
  <si>
    <t>深圳市第二高级中学深汕实验学校</t>
  </si>
  <si>
    <t>深圳市艺术高中</t>
  </si>
  <si>
    <t>布吉中学</t>
  </si>
  <si>
    <t>深圳市美术学校</t>
  </si>
  <si>
    <t>盐田区梅沙双语学校</t>
  </si>
  <si>
    <t>富源学校(招生608人)</t>
  </si>
  <si>
    <t>承翰学校</t>
  </si>
  <si>
    <t>桃源居中澳实验学校</t>
  </si>
  <si>
    <t>万科梅沙书院（国际为主）</t>
  </si>
  <si>
    <t>深圳耀华实验学校</t>
  </si>
  <si>
    <t>深圳华侨（康桥）书院-学费最便宜</t>
  </si>
  <si>
    <t>福桥高级中学</t>
  </si>
  <si>
    <t>德琳学校</t>
  </si>
  <si>
    <t>深圳南山中加学校（国际为主）</t>
  </si>
  <si>
    <t>建文外国语学校</t>
  </si>
  <si>
    <t>中新中学</t>
  </si>
  <si>
    <t>滨海高级中学</t>
  </si>
  <si>
    <t>汉开数理高中</t>
  </si>
  <si>
    <t>崛起实验中学</t>
  </si>
  <si>
    <t>深圳云顶学校</t>
  </si>
  <si>
    <t>深圳市明德外语实验学校（宝安）</t>
  </si>
  <si>
    <t>松岗中英文实验学校</t>
  </si>
  <si>
    <t>深圳东方英文书院</t>
  </si>
  <si>
    <t>深圳美中学校</t>
  </si>
  <si>
    <t>龙岗区东升学校</t>
  </si>
  <si>
    <t>深圳市展华实验学校</t>
  </si>
  <si>
    <t>华一实验学校</t>
  </si>
  <si>
    <t>杰仁高级中学</t>
  </si>
  <si>
    <t>光明书院</t>
  </si>
  <si>
    <t>菁华中英文实验学校</t>
  </si>
  <si>
    <t>龙岗区科城实验(走读）</t>
  </si>
  <si>
    <t>奥斯翰外语学校</t>
  </si>
  <si>
    <t>立人高级中学</t>
  </si>
  <si>
    <t>正德高级中学</t>
  </si>
  <si>
    <t>华朗学校</t>
  </si>
  <si>
    <t>鹏达高级中学</t>
  </si>
  <si>
    <t>晟才高级中学</t>
  </si>
  <si>
    <t>龙华中英文学校</t>
  </si>
  <si>
    <t>格睿特高级中学</t>
  </si>
  <si>
    <t>珊蒂泉外国语学校</t>
  </si>
  <si>
    <t>华胜实验学校</t>
  </si>
  <si>
    <t>宝安区中英公学</t>
  </si>
  <si>
    <t>坤翔（德邦）高级中学</t>
  </si>
  <si>
    <t>深圳市龙翔学校</t>
  </si>
  <si>
    <t>翻身实验学校（西校区）</t>
  </si>
  <si>
    <t>博恒实验学校</t>
  </si>
  <si>
    <t>枫叶学校（国际为主）</t>
  </si>
  <si>
    <t>知源高级中学</t>
  </si>
  <si>
    <t>深圳市弘毅高级中学</t>
  </si>
  <si>
    <t>龙华区诺德双语学校</t>
  </si>
  <si>
    <t>华文学校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</si>
</sst>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微软雅黑"/>
      <charset val="134"/>
    </font>
    <font>
      <sz val="11"/>
      <color rgb="FF000000"/>
      <name val="微软雅黑"/>
      <charset val="134"/>
    </font>
    <font>
      <sz val="18"/>
      <color rgb="FF000000"/>
      <name val="微软雅黑"/>
      <charset val="134"/>
    </font>
    <font>
      <b/>
      <sz val="9"/>
      <name val="微软雅黑"/>
      <charset val="134"/>
    </font>
    <font>
      <b/>
      <sz val="9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C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微软雅黑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DC1B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F3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E2FF"/>
        <bgColor indexed="64"/>
      </patternFill>
    </fill>
    <fill>
      <patternFill patternType="solid">
        <fgColor rgb="FFE3F668"/>
        <bgColor indexed="64"/>
      </patternFill>
    </fill>
    <fill>
      <patternFill patternType="solid">
        <fgColor rgb="FFFEC5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1" fillId="0" borderId="0">
      <alignment vertical="top"/>
      <protection locked="0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6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10" applyNumberFormat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19" fillId="19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</cellStyleXfs>
  <cellXfs count="10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3" fillId="3" borderId="2" xfId="49" applyFont="1" applyFill="1" applyBorder="1" applyAlignment="1" applyProtection="1">
      <alignment horizontal="center" vertical="center" wrapText="1"/>
    </xf>
    <xf numFmtId="0" fontId="3" fillId="4" borderId="3" xfId="49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2" xfId="49" applyFont="1" applyFill="1" applyBorder="1" applyAlignment="1" applyProtection="1">
      <alignment horizontal="center" vertical="center" wrapText="1"/>
    </xf>
    <xf numFmtId="9" fontId="3" fillId="3" borderId="2" xfId="3" applyFont="1" applyFill="1" applyBorder="1" applyAlignment="1" applyProtection="1">
      <alignment horizontal="center" vertical="center" wrapText="1"/>
    </xf>
    <xf numFmtId="0" fontId="3" fillId="5" borderId="2" xfId="49" applyFont="1" applyFill="1" applyBorder="1" applyAlignment="1" applyProtection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7" borderId="1" xfId="49" applyFont="1" applyFill="1" applyBorder="1" applyAlignment="1" applyProtection="1">
      <alignment horizontal="left" vertical="center"/>
    </xf>
    <xf numFmtId="0" fontId="0" fillId="7" borderId="5" xfId="49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7" borderId="1" xfId="49" applyFont="1" applyFill="1" applyBorder="1" applyAlignment="1" applyProtection="1">
      <alignment horizontal="center" vertical="center"/>
    </xf>
    <xf numFmtId="0" fontId="0" fillId="8" borderId="1" xfId="49" applyFont="1" applyFill="1" applyBorder="1" applyAlignment="1" applyProtection="1">
      <alignment horizontal="center" vertical="center"/>
    </xf>
    <xf numFmtId="0" fontId="0" fillId="7" borderId="1" xfId="49" applyFont="1" applyFill="1" applyBorder="1" applyAlignment="1" applyProtection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0" fillId="10" borderId="1" xfId="49" applyFont="1" applyFill="1" applyBorder="1" applyAlignment="1" applyProtection="1">
      <alignment horizontal="left" vertical="center"/>
    </xf>
    <xf numFmtId="0" fontId="0" fillId="10" borderId="5" xfId="49" applyFont="1" applyFill="1" applyBorder="1" applyAlignment="1" applyProtection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10" borderId="1" xfId="49" applyFont="1" applyFill="1" applyBorder="1" applyAlignment="1" applyProtection="1">
      <alignment horizontal="center" vertical="center"/>
    </xf>
    <xf numFmtId="0" fontId="0" fillId="10" borderId="1" xfId="49" applyFont="1" applyFill="1" applyBorder="1" applyAlignment="1" applyProtection="1">
      <alignment horizontal="center" vertical="center" wrapText="1"/>
    </xf>
    <xf numFmtId="0" fontId="0" fillId="11" borderId="1" xfId="49" applyFont="1" applyFill="1" applyBorder="1" applyAlignment="1" applyProtection="1">
      <alignment horizontal="left" vertical="center"/>
    </xf>
    <xf numFmtId="0" fontId="0" fillId="11" borderId="5" xfId="49" applyFont="1" applyFill="1" applyBorder="1" applyAlignment="1" applyProtection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0" fillId="11" borderId="1" xfId="49" applyFont="1" applyFill="1" applyBorder="1" applyAlignment="1" applyProtection="1">
      <alignment horizontal="center" vertical="center"/>
    </xf>
    <xf numFmtId="0" fontId="0" fillId="11" borderId="1" xfId="49" applyFont="1" applyFill="1" applyBorder="1" applyAlignment="1" applyProtection="1">
      <alignment horizontal="center" vertical="center" wrapText="1"/>
    </xf>
    <xf numFmtId="0" fontId="0" fillId="12" borderId="1" xfId="49" applyFont="1" applyFill="1" applyBorder="1" applyAlignment="1" applyProtection="1">
      <alignment horizontal="left" vertical="center"/>
    </xf>
    <xf numFmtId="0" fontId="0" fillId="12" borderId="5" xfId="49" applyFont="1" applyFill="1" applyBorder="1" applyAlignment="1" applyProtection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0" fillId="12" borderId="1" xfId="49" applyFont="1" applyFill="1" applyBorder="1" applyAlignment="1" applyProtection="1">
      <alignment horizontal="center" vertical="center"/>
    </xf>
    <xf numFmtId="0" fontId="0" fillId="12" borderId="1" xfId="49" applyFont="1" applyFill="1" applyBorder="1" applyAlignment="1" applyProtection="1">
      <alignment horizontal="center" vertical="center" wrapText="1"/>
    </xf>
    <xf numFmtId="58" fontId="1" fillId="12" borderId="6" xfId="0" applyNumberFormat="1" applyFont="1" applyFill="1" applyBorder="1" applyAlignment="1">
      <alignment horizontal="center" vertical="center"/>
    </xf>
    <xf numFmtId="0" fontId="0" fillId="13" borderId="1" xfId="49" applyFont="1" applyFill="1" applyBorder="1" applyAlignment="1" applyProtection="1">
      <alignment horizontal="left" vertical="center"/>
    </xf>
    <xf numFmtId="0" fontId="0" fillId="13" borderId="5" xfId="49" applyFont="1" applyFill="1" applyBorder="1" applyAlignment="1" applyProtection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0" fillId="13" borderId="1" xfId="49" applyFont="1" applyFill="1" applyBorder="1" applyAlignment="1" applyProtection="1">
      <alignment horizontal="center" vertical="center"/>
    </xf>
    <xf numFmtId="0" fontId="0" fillId="13" borderId="1" xfId="49" applyFont="1" applyFill="1" applyBorder="1" applyAlignment="1" applyProtection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10" borderId="1" xfId="50" applyFont="1" applyFill="1" applyBorder="1" applyAlignment="1" applyProtection="1">
      <alignment horizontal="center" vertical="center" wrapText="1"/>
    </xf>
    <xf numFmtId="0" fontId="0" fillId="6" borderId="1" xfId="49" applyFont="1" applyFill="1" applyBorder="1" applyAlignment="1" applyProtection="1">
      <alignment horizontal="left" vertical="center"/>
    </xf>
    <xf numFmtId="0" fontId="0" fillId="6" borderId="5" xfId="49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6" borderId="1" xfId="49" applyFont="1" applyFill="1" applyBorder="1" applyAlignment="1" applyProtection="1">
      <alignment horizontal="center" vertical="center"/>
    </xf>
    <xf numFmtId="0" fontId="0" fillId="6" borderId="1" xfId="49" applyFont="1" applyFill="1" applyBorder="1" applyAlignment="1" applyProtection="1">
      <alignment horizontal="center" vertical="center" wrapText="1"/>
    </xf>
    <xf numFmtId="0" fontId="0" fillId="14" borderId="1" xfId="49" applyFont="1" applyFill="1" applyBorder="1" applyAlignment="1" applyProtection="1">
      <alignment horizontal="left" vertical="center"/>
    </xf>
    <xf numFmtId="0" fontId="0" fillId="14" borderId="5" xfId="49" applyFont="1" applyFill="1" applyBorder="1" applyAlignment="1" applyProtection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0" fillId="14" borderId="1" xfId="49" applyFont="1" applyFill="1" applyBorder="1" applyAlignment="1" applyProtection="1">
      <alignment horizontal="center" vertical="center"/>
    </xf>
    <xf numFmtId="0" fontId="0" fillId="14" borderId="1" xfId="49" applyFont="1" applyFill="1" applyBorder="1" applyAlignment="1" applyProtection="1">
      <alignment horizontal="center" vertical="center" wrapText="1"/>
    </xf>
    <xf numFmtId="0" fontId="5" fillId="10" borderId="1" xfId="49" applyFont="1" applyFill="1" applyBorder="1" applyAlignment="1" applyProtection="1">
      <alignment horizontal="left" vertical="center"/>
    </xf>
    <xf numFmtId="0" fontId="0" fillId="10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5" borderId="1" xfId="49" applyFont="1" applyFill="1" applyBorder="1" applyAlignment="1" applyProtection="1">
      <alignment horizontal="left" vertical="center"/>
    </xf>
    <xf numFmtId="0" fontId="0" fillId="15" borderId="5" xfId="49" applyFont="1" applyFill="1" applyBorder="1" applyAlignment="1" applyProtection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0" fillId="15" borderId="1" xfId="49" applyFont="1" applyFill="1" applyBorder="1" applyAlignment="1" applyProtection="1">
      <alignment horizontal="center" vertical="center"/>
    </xf>
    <xf numFmtId="0" fontId="0" fillId="15" borderId="1" xfId="49" applyNumberFormat="1" applyFont="1" applyFill="1" applyBorder="1" applyAlignment="1" applyProtection="1">
      <alignment horizontal="left" vertical="center"/>
    </xf>
    <xf numFmtId="0" fontId="0" fillId="1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0" fillId="6" borderId="1" xfId="51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0" fillId="6" borderId="5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0" fillId="13" borderId="5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0" borderId="6" xfId="49" applyFont="1" applyFill="1" applyBorder="1" applyAlignment="1" applyProtection="1">
      <alignment horizontal="center" vertical="center"/>
    </xf>
    <xf numFmtId="0" fontId="0" fillId="10" borderId="2" xfId="49" applyFont="1" applyFill="1" applyBorder="1" applyAlignment="1" applyProtection="1">
      <alignment horizontal="center" vertical="center"/>
    </xf>
    <xf numFmtId="0" fontId="0" fillId="10" borderId="2" xfId="49" applyFont="1" applyFill="1" applyBorder="1" applyAlignment="1" applyProtection="1">
      <alignment horizontal="center" vertical="center" wrapText="1"/>
    </xf>
    <xf numFmtId="0" fontId="0" fillId="8" borderId="2" xfId="49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" xfId="49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49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3" applyNumberFormat="1" applyFont="1" applyFill="1" applyBorder="1" applyAlignment="1" applyProtection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205105</xdr:colOff>
      <xdr:row>1</xdr:row>
      <xdr:rowOff>107315</xdr:rowOff>
    </xdr:from>
    <xdr:to>
      <xdr:col>12</xdr:col>
      <xdr:colOff>217736</xdr:colOff>
      <xdr:row>1</xdr:row>
      <xdr:rowOff>1174562</xdr:rowOff>
    </xdr:to>
    <xdr:sp>
      <xdr:nvSpPr>
        <xdr:cNvPr id="2" name=" "/>
        <xdr:cNvSpPr txBox="1"/>
      </xdr:nvSpPr>
      <xdr:spPr>
        <a:xfrm>
          <a:off x="4576445" y="818515"/>
          <a:ext cx="2691765" cy="10668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定位方法</a:t>
          </a:r>
          <a:r>
            <a:rPr lang="en-US" altLang="zh-CN" sz="11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：</a:t>
          </a:r>
          <a:endParaRPr lang="en-US" altLang="zh-CN" sz="11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r>
            <a:rPr lang="en-US" altLang="zh-CN" sz="11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1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、计算每一次大考的得分率，求平均值，将平均值计为本位志愿，</a:t>
          </a:r>
          <a:r>
            <a:rPr lang="en-US" altLang="zh-CN" sz="11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本位志愿定</a:t>
          </a:r>
          <a:r>
            <a:rPr lang="en-US" altLang="zh-CN" sz="11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4</a:t>
          </a:r>
          <a:r>
            <a:rPr lang="zh-CN" altLang="en-US" sz="11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。</a:t>
          </a:r>
          <a:endParaRPr lang="en-US" altLang="zh-CN" sz="11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2</a:t>
          </a:r>
          <a:r>
            <a:rPr lang="zh-CN" altLang="en-US" sz="11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、结合校排名进行定位调整。</a:t>
          </a:r>
          <a:endParaRPr lang="en-US" altLang="zh-CN" sz="11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</xdr:txBody>
    </xdr:sp>
    <xdr:clientData/>
  </xdr:twoCellAnchor>
  <xdr:twoCellAnchor>
    <xdr:from>
      <xdr:col>13</xdr:col>
      <xdr:colOff>100282</xdr:colOff>
      <xdr:row>0</xdr:row>
      <xdr:rowOff>291703</xdr:rowOff>
    </xdr:from>
    <xdr:to>
      <xdr:col>16</xdr:col>
      <xdr:colOff>680281</xdr:colOff>
      <xdr:row>0</xdr:row>
      <xdr:rowOff>608409</xdr:rowOff>
    </xdr:to>
    <xdr:sp>
      <xdr:nvSpPr>
        <xdr:cNvPr id="3" name=" "/>
        <xdr:cNvSpPr txBox="1"/>
      </xdr:nvSpPr>
      <xdr:spPr>
        <a:xfrm>
          <a:off x="7523480" y="291465"/>
          <a:ext cx="1742440" cy="316865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进</a:t>
          </a:r>
          <a:r>
            <a:rPr lang="en-US" altLang="zh-CN" sz="1600" b="1">
              <a:solidFill>
                <a:srgbClr val="FF0000"/>
              </a:solidFill>
              <a:latin typeface="Calibri" panose="020F0502020204030204" charset="0"/>
              <a:ea typeface="Calibri" panose="020F0502020204030204" charset="0"/>
            </a:rPr>
            <a:t>QQ</a:t>
          </a:r>
          <a:r>
            <a:rPr lang="en-US" altLang="zh-CN" sz="16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群领大礼包</a:t>
          </a:r>
          <a:endParaRPr lang="en-US" altLang="zh-CN" sz="1600" b="1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0</xdr:col>
      <xdr:colOff>17780</xdr:colOff>
      <xdr:row>94</xdr:row>
      <xdr:rowOff>17780</xdr:rowOff>
    </xdr:from>
    <xdr:to>
      <xdr:col>16</xdr:col>
      <xdr:colOff>806450</xdr:colOff>
      <xdr:row>101</xdr:row>
      <xdr:rowOff>27940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780" y="21709380"/>
          <a:ext cx="9374505" cy="1826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3"/>
  <sheetViews>
    <sheetView tabSelected="1" zoomScale="70" zoomScaleNormal="70" topLeftCell="A73" workbookViewId="0">
      <selection activeCell="H89" sqref="H89"/>
    </sheetView>
  </sheetViews>
  <sheetFormatPr defaultColWidth="9" defaultRowHeight="16.5"/>
  <cols>
    <col min="1" max="1" width="3.84615384615385" style="3" customWidth="1"/>
    <col min="2" max="2" width="22.8846153846154" style="1" customWidth="1"/>
    <col min="3" max="3" width="4.69230769230769" style="3" customWidth="1"/>
    <col min="4" max="4" width="14.7076923076923" style="4" customWidth="1"/>
    <col min="5" max="5" width="6.82307692307692" style="3" customWidth="1"/>
    <col min="6" max="7" width="4.61538461538461" style="3" customWidth="1"/>
    <col min="8" max="10" width="4.61538461538461" style="5" customWidth="1"/>
    <col min="11" max="12" width="4.69230769230769" style="5" customWidth="1"/>
    <col min="13" max="13" width="4.51538461538462" style="5" customWidth="1"/>
    <col min="14" max="16" width="4.69230769230769" style="3" customWidth="1"/>
    <col min="17" max="17" width="9.84615384615385" style="3" customWidth="1"/>
    <col min="18" max="16383" width="9.23076923076923" style="1"/>
    <col min="16384" max="16384" width="9" style="1"/>
  </cols>
  <sheetData>
    <row r="1" s="1" customFormat="1" ht="56" customHeight="1" spans="1:1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="2" customFormat="1" ht="110" customHeight="1" spans="1:17">
      <c r="A2" s="7" t="s">
        <v>1</v>
      </c>
      <c r="B2" s="7"/>
      <c r="C2" s="7"/>
      <c r="D2" s="7"/>
      <c r="E2" s="7"/>
      <c r="F2" s="7"/>
      <c r="G2" s="8"/>
      <c r="H2" s="9"/>
      <c r="I2" s="9"/>
      <c r="J2" s="9"/>
      <c r="K2" s="9"/>
      <c r="L2" s="9"/>
      <c r="M2" s="9"/>
      <c r="N2" s="4" t="str">
        <f>_xlfn.DISPIMG("ID_34B1AAE6239141BD9992B61299DB7125",1)</f>
        <v>=DISPIMG("ID_34B1AAE6239141BD9992B61299DB7125",1)</v>
      </c>
      <c r="O2" s="4"/>
      <c r="P2" s="4"/>
      <c r="Q2" s="4"/>
    </row>
    <row r="3" s="1" customFormat="1" ht="40.5" spans="1:17">
      <c r="A3" s="10" t="s">
        <v>2</v>
      </c>
      <c r="B3" s="10" t="s">
        <v>3</v>
      </c>
      <c r="C3" s="11" t="s">
        <v>4</v>
      </c>
      <c r="D3" s="12" t="s">
        <v>5</v>
      </c>
      <c r="E3" s="13" t="s">
        <v>6</v>
      </c>
      <c r="F3" s="14" t="s">
        <v>7</v>
      </c>
      <c r="G3" s="12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6" t="s">
        <v>15</v>
      </c>
      <c r="O3" s="15" t="s">
        <v>16</v>
      </c>
      <c r="P3" s="15" t="s">
        <v>17</v>
      </c>
      <c r="Q3" s="17" t="s">
        <v>18</v>
      </c>
    </row>
    <row r="4" s="1" customFormat="1" spans="1:17">
      <c r="A4" s="18" t="s">
        <v>19</v>
      </c>
      <c r="B4" s="19" t="s">
        <v>20</v>
      </c>
      <c r="C4" s="20" t="s">
        <v>21</v>
      </c>
      <c r="D4" s="21"/>
      <c r="E4" s="22"/>
      <c r="F4" s="23">
        <v>1</v>
      </c>
      <c r="G4" s="23">
        <v>2</v>
      </c>
      <c r="H4" s="23">
        <v>1</v>
      </c>
      <c r="I4" s="23">
        <v>1</v>
      </c>
      <c r="J4" s="23">
        <v>1</v>
      </c>
      <c r="K4" s="23">
        <v>574</v>
      </c>
      <c r="L4" s="23">
        <v>570</v>
      </c>
      <c r="M4" s="23">
        <v>567</v>
      </c>
      <c r="N4" s="23">
        <v>574</v>
      </c>
      <c r="O4" s="23">
        <v>572</v>
      </c>
      <c r="P4" s="23">
        <v>576</v>
      </c>
      <c r="Q4" s="24">
        <v>-4</v>
      </c>
    </row>
    <row r="5" s="1" customFormat="1" spans="1:17">
      <c r="A5" s="18" t="s">
        <v>19</v>
      </c>
      <c r="B5" s="19" t="s">
        <v>22</v>
      </c>
      <c r="C5" s="20" t="s">
        <v>23</v>
      </c>
      <c r="D5" s="21"/>
      <c r="E5" s="22"/>
      <c r="F5" s="23">
        <v>2</v>
      </c>
      <c r="G5" s="23">
        <v>1</v>
      </c>
      <c r="H5" s="25">
        <v>2</v>
      </c>
      <c r="I5" s="23">
        <v>2</v>
      </c>
      <c r="J5" s="23">
        <v>2</v>
      </c>
      <c r="K5" s="23">
        <v>570</v>
      </c>
      <c r="L5" s="23">
        <v>569</v>
      </c>
      <c r="M5" s="23">
        <v>567</v>
      </c>
      <c r="N5" s="25">
        <v>573</v>
      </c>
      <c r="O5" s="23">
        <v>571</v>
      </c>
      <c r="P5" s="23">
        <v>573</v>
      </c>
      <c r="Q5" s="24">
        <v>-1</v>
      </c>
    </row>
    <row r="6" s="1" customFormat="1" spans="1:17">
      <c r="A6" s="18" t="s">
        <v>19</v>
      </c>
      <c r="B6" s="19" t="s">
        <v>24</v>
      </c>
      <c r="C6" s="20" t="s">
        <v>25</v>
      </c>
      <c r="D6" s="21"/>
      <c r="E6" s="22"/>
      <c r="F6" s="23">
        <v>3</v>
      </c>
      <c r="G6" s="23">
        <v>4</v>
      </c>
      <c r="H6" s="23">
        <v>3</v>
      </c>
      <c r="I6" s="23">
        <v>4</v>
      </c>
      <c r="J6" s="23">
        <v>4</v>
      </c>
      <c r="K6" s="23">
        <v>569</v>
      </c>
      <c r="L6" s="23">
        <v>568</v>
      </c>
      <c r="M6" s="23">
        <v>565</v>
      </c>
      <c r="N6" s="23">
        <v>572</v>
      </c>
      <c r="O6" s="23">
        <v>570</v>
      </c>
      <c r="P6" s="23">
        <v>568</v>
      </c>
      <c r="Q6" s="24">
        <v>-1</v>
      </c>
    </row>
    <row r="7" s="1" customFormat="1" spans="1:17">
      <c r="A7" s="18" t="s">
        <v>19</v>
      </c>
      <c r="B7" s="19" t="s">
        <v>26</v>
      </c>
      <c r="C7" s="20" t="s">
        <v>27</v>
      </c>
      <c r="D7" s="21"/>
      <c r="E7" s="22"/>
      <c r="F7" s="23">
        <v>4</v>
      </c>
      <c r="G7" s="23">
        <v>3</v>
      </c>
      <c r="H7" s="25">
        <v>4</v>
      </c>
      <c r="I7" s="23">
        <v>3</v>
      </c>
      <c r="J7" s="23">
        <v>3</v>
      </c>
      <c r="K7" s="23">
        <v>568</v>
      </c>
      <c r="L7" s="23">
        <v>566</v>
      </c>
      <c r="M7" s="23">
        <v>565</v>
      </c>
      <c r="N7" s="23">
        <v>572</v>
      </c>
      <c r="O7" s="23">
        <v>570</v>
      </c>
      <c r="P7" s="23">
        <v>570</v>
      </c>
      <c r="Q7" s="24">
        <v>-2</v>
      </c>
    </row>
    <row r="8" s="1" customFormat="1" spans="1:17">
      <c r="A8" s="26" t="s">
        <v>28</v>
      </c>
      <c r="B8" s="27" t="s">
        <v>29</v>
      </c>
      <c r="C8" s="28" t="s">
        <v>25</v>
      </c>
      <c r="D8" s="29"/>
      <c r="E8" s="30"/>
      <c r="F8" s="31">
        <v>5</v>
      </c>
      <c r="G8" s="31">
        <v>5</v>
      </c>
      <c r="H8" s="31">
        <v>5</v>
      </c>
      <c r="I8" s="31">
        <v>5</v>
      </c>
      <c r="J8" s="31">
        <v>5</v>
      </c>
      <c r="K8" s="31">
        <v>565</v>
      </c>
      <c r="L8" s="31">
        <v>564</v>
      </c>
      <c r="M8" s="31">
        <v>560</v>
      </c>
      <c r="N8" s="31">
        <v>569</v>
      </c>
      <c r="O8" s="31">
        <v>566</v>
      </c>
      <c r="P8" s="31">
        <v>564</v>
      </c>
      <c r="Q8" s="24">
        <v>-1</v>
      </c>
    </row>
    <row r="9" s="1" customFormat="1" spans="1:17">
      <c r="A9" s="26" t="s">
        <v>28</v>
      </c>
      <c r="B9" s="27" t="s">
        <v>30</v>
      </c>
      <c r="C9" s="28" t="s">
        <v>23</v>
      </c>
      <c r="D9" s="29"/>
      <c r="E9" s="30"/>
      <c r="F9" s="31">
        <v>6</v>
      </c>
      <c r="G9" s="31">
        <v>7</v>
      </c>
      <c r="H9" s="32">
        <v>8</v>
      </c>
      <c r="I9" s="31">
        <v>9</v>
      </c>
      <c r="J9" s="31">
        <v>9</v>
      </c>
      <c r="K9" s="31">
        <v>564</v>
      </c>
      <c r="L9" s="31">
        <v>563</v>
      </c>
      <c r="M9" s="31">
        <v>559</v>
      </c>
      <c r="N9" s="31">
        <v>567</v>
      </c>
      <c r="O9" s="31">
        <v>562</v>
      </c>
      <c r="P9" s="31">
        <v>557</v>
      </c>
      <c r="Q9" s="24">
        <v>-1</v>
      </c>
    </row>
    <row r="10" s="1" customFormat="1" spans="1:17">
      <c r="A10" s="26" t="s">
        <v>28</v>
      </c>
      <c r="B10" s="27" t="s">
        <v>31</v>
      </c>
      <c r="C10" s="28" t="s">
        <v>32</v>
      </c>
      <c r="D10" s="29"/>
      <c r="E10" s="30"/>
      <c r="F10" s="31">
        <v>7</v>
      </c>
      <c r="G10" s="31">
        <v>6</v>
      </c>
      <c r="H10" s="32">
        <v>6</v>
      </c>
      <c r="I10" s="31">
        <v>6</v>
      </c>
      <c r="J10" s="31">
        <v>6</v>
      </c>
      <c r="K10" s="31">
        <v>564</v>
      </c>
      <c r="L10" s="31">
        <v>562</v>
      </c>
      <c r="M10" s="31">
        <v>559</v>
      </c>
      <c r="N10" s="32">
        <v>568</v>
      </c>
      <c r="O10" s="31">
        <v>564</v>
      </c>
      <c r="P10" s="31">
        <v>561</v>
      </c>
      <c r="Q10" s="24">
        <v>-2</v>
      </c>
    </row>
    <row r="11" s="1" customFormat="1" spans="1:17">
      <c r="A11" s="26" t="s">
        <v>28</v>
      </c>
      <c r="B11" s="27" t="s">
        <v>33</v>
      </c>
      <c r="C11" s="28" t="s">
        <v>23</v>
      </c>
      <c r="D11" s="29"/>
      <c r="E11" s="30"/>
      <c r="F11" s="31">
        <v>8</v>
      </c>
      <c r="G11" s="31">
        <v>8</v>
      </c>
      <c r="H11" s="31">
        <v>7</v>
      </c>
      <c r="I11" s="31">
        <v>7</v>
      </c>
      <c r="J11" s="31">
        <v>7</v>
      </c>
      <c r="K11" s="31">
        <v>562</v>
      </c>
      <c r="L11" s="31">
        <v>560</v>
      </c>
      <c r="M11" s="31">
        <v>558</v>
      </c>
      <c r="N11" s="32">
        <v>567</v>
      </c>
      <c r="O11" s="31">
        <v>563</v>
      </c>
      <c r="P11" s="31">
        <v>560</v>
      </c>
      <c r="Q11" s="24">
        <v>-2</v>
      </c>
    </row>
    <row r="12" s="1" customFormat="1" spans="1:17">
      <c r="A12" s="26" t="s">
        <v>28</v>
      </c>
      <c r="B12" s="27" t="s">
        <v>34</v>
      </c>
      <c r="C12" s="28" t="s">
        <v>23</v>
      </c>
      <c r="D12" s="29"/>
      <c r="E12" s="30"/>
      <c r="F12" s="31">
        <v>9</v>
      </c>
      <c r="G12" s="31">
        <v>9</v>
      </c>
      <c r="H12" s="32">
        <v>10</v>
      </c>
      <c r="I12" s="31">
        <v>12</v>
      </c>
      <c r="J12" s="31">
        <v>14</v>
      </c>
      <c r="K12" s="31">
        <v>562</v>
      </c>
      <c r="L12" s="31">
        <v>560</v>
      </c>
      <c r="M12" s="31">
        <v>556</v>
      </c>
      <c r="N12" s="32">
        <v>563</v>
      </c>
      <c r="O12" s="31">
        <v>556</v>
      </c>
      <c r="P12" s="31">
        <v>542</v>
      </c>
      <c r="Q12" s="24">
        <v>-2</v>
      </c>
    </row>
    <row r="13" s="1" customFormat="1" spans="1:17">
      <c r="A13" s="26" t="s">
        <v>28</v>
      </c>
      <c r="B13" s="33" t="s">
        <v>35</v>
      </c>
      <c r="C13" s="34" t="s">
        <v>36</v>
      </c>
      <c r="D13" s="35"/>
      <c r="E13" s="36"/>
      <c r="F13" s="37">
        <v>10</v>
      </c>
      <c r="G13" s="37">
        <v>10</v>
      </c>
      <c r="H13" s="37">
        <v>9</v>
      </c>
      <c r="I13" s="37">
        <v>10</v>
      </c>
      <c r="J13" s="37">
        <v>10</v>
      </c>
      <c r="K13" s="37">
        <v>560</v>
      </c>
      <c r="L13" s="37">
        <v>558</v>
      </c>
      <c r="M13" s="37">
        <v>555</v>
      </c>
      <c r="N13" s="37">
        <v>565</v>
      </c>
      <c r="O13" s="37">
        <v>559</v>
      </c>
      <c r="P13" s="37">
        <v>553</v>
      </c>
      <c r="Q13" s="24">
        <v>-2</v>
      </c>
    </row>
    <row r="14" s="1" customFormat="1" spans="1:17">
      <c r="A14" s="26" t="s">
        <v>28</v>
      </c>
      <c r="B14" s="33" t="s">
        <v>37</v>
      </c>
      <c r="C14" s="34" t="s">
        <v>23</v>
      </c>
      <c r="D14" s="35"/>
      <c r="E14" s="36"/>
      <c r="F14" s="37">
        <v>11</v>
      </c>
      <c r="G14" s="37">
        <v>11</v>
      </c>
      <c r="H14" s="37">
        <v>11</v>
      </c>
      <c r="I14" s="37">
        <v>8</v>
      </c>
      <c r="J14" s="37">
        <v>8</v>
      </c>
      <c r="K14" s="37">
        <v>559</v>
      </c>
      <c r="L14" s="37">
        <v>558</v>
      </c>
      <c r="M14" s="37">
        <v>551</v>
      </c>
      <c r="N14" s="37">
        <v>561</v>
      </c>
      <c r="O14" s="37">
        <v>562</v>
      </c>
      <c r="P14" s="37">
        <v>558</v>
      </c>
      <c r="Q14" s="24">
        <v>-1</v>
      </c>
    </row>
    <row r="15" s="1" customFormat="1" spans="1:17">
      <c r="A15" s="26" t="s">
        <v>28</v>
      </c>
      <c r="B15" s="33" t="s">
        <v>38</v>
      </c>
      <c r="C15" s="34" t="s">
        <v>23</v>
      </c>
      <c r="D15" s="35"/>
      <c r="E15" s="36"/>
      <c r="F15" s="37">
        <v>12</v>
      </c>
      <c r="G15" s="37">
        <v>12</v>
      </c>
      <c r="H15" s="37">
        <v>13</v>
      </c>
      <c r="I15" s="37">
        <v>12</v>
      </c>
      <c r="J15" s="37">
        <v>11</v>
      </c>
      <c r="K15" s="37">
        <v>557</v>
      </c>
      <c r="L15" s="37">
        <v>555</v>
      </c>
      <c r="M15" s="37">
        <v>551</v>
      </c>
      <c r="N15" s="37">
        <v>561</v>
      </c>
      <c r="O15" s="37">
        <v>556</v>
      </c>
      <c r="P15" s="37">
        <v>548</v>
      </c>
      <c r="Q15" s="24">
        <v>-2</v>
      </c>
    </row>
    <row r="16" s="1" customFormat="1" spans="1:17">
      <c r="A16" s="26" t="s">
        <v>28</v>
      </c>
      <c r="B16" s="33" t="s">
        <v>39</v>
      </c>
      <c r="C16" s="34" t="s">
        <v>21</v>
      </c>
      <c r="D16" s="35"/>
      <c r="E16" s="36"/>
      <c r="F16" s="37">
        <v>13</v>
      </c>
      <c r="G16" s="37">
        <v>15</v>
      </c>
      <c r="H16" s="37">
        <v>15</v>
      </c>
      <c r="I16" s="37">
        <v>16</v>
      </c>
      <c r="J16" s="37">
        <v>13</v>
      </c>
      <c r="K16" s="37">
        <v>557</v>
      </c>
      <c r="L16" s="37">
        <v>555</v>
      </c>
      <c r="M16" s="37">
        <v>548</v>
      </c>
      <c r="N16" s="38">
        <v>559</v>
      </c>
      <c r="O16" s="37">
        <v>552</v>
      </c>
      <c r="P16" s="37">
        <v>545</v>
      </c>
      <c r="Q16" s="24">
        <v>-2</v>
      </c>
    </row>
    <row r="17" s="1" customFormat="1" spans="1:17">
      <c r="A17" s="26" t="s">
        <v>28</v>
      </c>
      <c r="B17" s="33" t="s">
        <v>40</v>
      </c>
      <c r="C17" s="34" t="s">
        <v>36</v>
      </c>
      <c r="D17" s="35"/>
      <c r="E17" s="36"/>
      <c r="F17" s="37">
        <v>14</v>
      </c>
      <c r="G17" s="37">
        <v>13</v>
      </c>
      <c r="H17" s="38">
        <v>14</v>
      </c>
      <c r="I17" s="37">
        <v>14</v>
      </c>
      <c r="J17" s="37">
        <v>16</v>
      </c>
      <c r="K17" s="37">
        <v>557</v>
      </c>
      <c r="L17" s="37">
        <v>554</v>
      </c>
      <c r="M17" s="37">
        <v>550</v>
      </c>
      <c r="N17" s="38">
        <v>560</v>
      </c>
      <c r="O17" s="37">
        <v>553</v>
      </c>
      <c r="P17" s="37">
        <v>539</v>
      </c>
      <c r="Q17" s="24">
        <v>-3</v>
      </c>
    </row>
    <row r="18" s="1" customFormat="1" spans="1:17">
      <c r="A18" s="26" t="s">
        <v>28</v>
      </c>
      <c r="B18" s="33" t="s">
        <v>41</v>
      </c>
      <c r="C18" s="34" t="s">
        <v>32</v>
      </c>
      <c r="D18" s="35"/>
      <c r="E18" s="36"/>
      <c r="F18" s="37">
        <v>15</v>
      </c>
      <c r="G18" s="37">
        <v>14</v>
      </c>
      <c r="H18" s="38">
        <v>12</v>
      </c>
      <c r="I18" s="37">
        <v>11</v>
      </c>
      <c r="J18" s="37">
        <v>12</v>
      </c>
      <c r="K18" s="37">
        <v>556</v>
      </c>
      <c r="L18" s="37">
        <v>552</v>
      </c>
      <c r="M18" s="37">
        <v>549</v>
      </c>
      <c r="N18" s="37">
        <v>561</v>
      </c>
      <c r="O18" s="37">
        <v>558</v>
      </c>
      <c r="P18" s="37">
        <v>546</v>
      </c>
      <c r="Q18" s="24">
        <v>-4</v>
      </c>
    </row>
    <row r="19" s="1" customFormat="1" spans="1:17">
      <c r="A19" s="26" t="s">
        <v>28</v>
      </c>
      <c r="B19" s="39" t="s">
        <v>42</v>
      </c>
      <c r="C19" s="40" t="s">
        <v>43</v>
      </c>
      <c r="D19" s="41"/>
      <c r="E19" s="42"/>
      <c r="F19" s="43">
        <v>16</v>
      </c>
      <c r="G19" s="43">
        <v>17</v>
      </c>
      <c r="H19" s="44">
        <v>18</v>
      </c>
      <c r="I19" s="43">
        <v>19</v>
      </c>
      <c r="J19" s="43">
        <v>23</v>
      </c>
      <c r="K19" s="43">
        <v>553</v>
      </c>
      <c r="L19" s="43">
        <v>551</v>
      </c>
      <c r="M19" s="43">
        <v>546</v>
      </c>
      <c r="N19" s="43">
        <v>557</v>
      </c>
      <c r="O19" s="43">
        <v>548</v>
      </c>
      <c r="P19" s="43">
        <v>529</v>
      </c>
      <c r="Q19" s="24">
        <v>-2</v>
      </c>
    </row>
    <row r="20" s="1" customFormat="1" spans="1:17">
      <c r="A20" s="26" t="s">
        <v>28</v>
      </c>
      <c r="B20" s="39" t="s">
        <v>44</v>
      </c>
      <c r="C20" s="40" t="s">
        <v>45</v>
      </c>
      <c r="D20" s="41"/>
      <c r="E20" s="42"/>
      <c r="F20" s="43">
        <v>17</v>
      </c>
      <c r="G20" s="43">
        <v>18</v>
      </c>
      <c r="H20" s="43">
        <v>19</v>
      </c>
      <c r="I20" s="43">
        <v>20</v>
      </c>
      <c r="J20" s="43">
        <v>19</v>
      </c>
      <c r="K20" s="43">
        <v>553</v>
      </c>
      <c r="L20" s="43">
        <v>541</v>
      </c>
      <c r="M20" s="43">
        <v>545</v>
      </c>
      <c r="N20" s="44">
        <v>556</v>
      </c>
      <c r="O20" s="43">
        <v>546</v>
      </c>
      <c r="P20" s="43">
        <v>531</v>
      </c>
      <c r="Q20" s="24">
        <v>-12</v>
      </c>
    </row>
    <row r="21" s="1" customFormat="1" spans="1:17">
      <c r="A21" s="26" t="s">
        <v>28</v>
      </c>
      <c r="B21" s="39" t="s">
        <v>46</v>
      </c>
      <c r="C21" s="40" t="s">
        <v>21</v>
      </c>
      <c r="D21" s="41"/>
      <c r="E21" s="42"/>
      <c r="F21" s="43">
        <v>18</v>
      </c>
      <c r="G21" s="43">
        <v>16</v>
      </c>
      <c r="H21" s="44">
        <v>16</v>
      </c>
      <c r="I21" s="43">
        <v>15</v>
      </c>
      <c r="J21" s="43">
        <v>15</v>
      </c>
      <c r="K21" s="43">
        <v>550</v>
      </c>
      <c r="L21" s="43">
        <v>547</v>
      </c>
      <c r="M21" s="43">
        <v>548</v>
      </c>
      <c r="N21" s="44">
        <v>558</v>
      </c>
      <c r="O21" s="43">
        <v>552</v>
      </c>
      <c r="P21" s="43">
        <v>540</v>
      </c>
      <c r="Q21" s="24">
        <v>-3</v>
      </c>
    </row>
    <row r="22" s="1" customFormat="1" spans="1:17">
      <c r="A22" s="26" t="s">
        <v>28</v>
      </c>
      <c r="B22" s="39" t="s">
        <v>47</v>
      </c>
      <c r="C22" s="40" t="s">
        <v>48</v>
      </c>
      <c r="D22" s="41"/>
      <c r="E22" s="45"/>
      <c r="F22" s="43">
        <v>19</v>
      </c>
      <c r="G22" s="43">
        <v>19</v>
      </c>
      <c r="H22" s="43">
        <v>17</v>
      </c>
      <c r="I22" s="43">
        <v>17</v>
      </c>
      <c r="J22" s="43">
        <v>20</v>
      </c>
      <c r="K22" s="43">
        <v>549</v>
      </c>
      <c r="L22" s="43">
        <v>542</v>
      </c>
      <c r="M22" s="43">
        <v>543</v>
      </c>
      <c r="N22" s="44">
        <v>557</v>
      </c>
      <c r="O22" s="43">
        <v>551</v>
      </c>
      <c r="P22" s="43">
        <v>531</v>
      </c>
      <c r="Q22" s="24">
        <v>-7</v>
      </c>
    </row>
    <row r="23" s="1" customFormat="1" spans="1:17">
      <c r="A23" s="26" t="s">
        <v>28</v>
      </c>
      <c r="B23" s="39" t="s">
        <v>49</v>
      </c>
      <c r="C23" s="40" t="s">
        <v>43</v>
      </c>
      <c r="D23" s="41"/>
      <c r="E23" s="42"/>
      <c r="F23" s="43">
        <v>20</v>
      </c>
      <c r="G23" s="43">
        <v>20</v>
      </c>
      <c r="H23" s="44">
        <v>20</v>
      </c>
      <c r="I23" s="43">
        <v>24</v>
      </c>
      <c r="J23" s="43">
        <v>22</v>
      </c>
      <c r="K23" s="43">
        <v>549</v>
      </c>
      <c r="L23" s="43">
        <v>543</v>
      </c>
      <c r="M23" s="43">
        <v>543</v>
      </c>
      <c r="N23" s="44">
        <v>555</v>
      </c>
      <c r="O23" s="43">
        <v>542</v>
      </c>
      <c r="P23" s="43">
        <v>529</v>
      </c>
      <c r="Q23" s="24">
        <v>-6</v>
      </c>
    </row>
    <row r="24" s="1" customFormat="1" spans="1:17">
      <c r="A24" s="26" t="s">
        <v>28</v>
      </c>
      <c r="B24" s="39" t="s">
        <v>50</v>
      </c>
      <c r="C24" s="40" t="s">
        <v>36</v>
      </c>
      <c r="D24" s="41"/>
      <c r="E24" s="42"/>
      <c r="F24" s="43">
        <v>21</v>
      </c>
      <c r="G24" s="43">
        <v>21</v>
      </c>
      <c r="H24" s="43">
        <v>21</v>
      </c>
      <c r="I24" s="43">
        <v>18</v>
      </c>
      <c r="J24" s="43">
        <v>17</v>
      </c>
      <c r="K24" s="43">
        <v>549</v>
      </c>
      <c r="L24" s="43">
        <v>540</v>
      </c>
      <c r="M24" s="43">
        <v>542</v>
      </c>
      <c r="N24" s="44">
        <v>554</v>
      </c>
      <c r="O24" s="43">
        <v>546</v>
      </c>
      <c r="P24" s="43">
        <v>526</v>
      </c>
      <c r="Q24" s="24">
        <v>-9</v>
      </c>
    </row>
    <row r="25" s="1" customFormat="1" spans="1:17">
      <c r="A25" s="26" t="s">
        <v>28</v>
      </c>
      <c r="B25" s="39" t="s">
        <v>51</v>
      </c>
      <c r="C25" s="40" t="s">
        <v>23</v>
      </c>
      <c r="D25" s="41"/>
      <c r="E25" s="42"/>
      <c r="F25" s="43">
        <v>22</v>
      </c>
      <c r="G25" s="43"/>
      <c r="H25" s="43"/>
      <c r="I25" s="43"/>
      <c r="J25" s="43"/>
      <c r="K25" s="43">
        <v>549</v>
      </c>
      <c r="L25" s="43">
        <v>546</v>
      </c>
      <c r="M25" s="43"/>
      <c r="N25" s="44"/>
      <c r="O25" s="43"/>
      <c r="P25" s="43" t="s">
        <v>52</v>
      </c>
      <c r="Q25" s="24">
        <v>-3</v>
      </c>
    </row>
    <row r="26" s="1" customFormat="1" spans="1:17">
      <c r="A26" s="26" t="s">
        <v>28</v>
      </c>
      <c r="B26" s="39" t="s">
        <v>53</v>
      </c>
      <c r="C26" s="40" t="s">
        <v>54</v>
      </c>
      <c r="D26" s="41"/>
      <c r="E26" s="42"/>
      <c r="F26" s="43">
        <v>23</v>
      </c>
      <c r="G26" s="43">
        <v>22</v>
      </c>
      <c r="H26" s="43">
        <v>23</v>
      </c>
      <c r="I26" s="43">
        <v>25</v>
      </c>
      <c r="J26" s="43">
        <v>21</v>
      </c>
      <c r="K26" s="43">
        <v>548</v>
      </c>
      <c r="L26" s="43">
        <v>538</v>
      </c>
      <c r="M26" s="43">
        <v>541</v>
      </c>
      <c r="N26" s="44">
        <v>554</v>
      </c>
      <c r="O26" s="43">
        <v>540</v>
      </c>
      <c r="P26" s="43">
        <v>529</v>
      </c>
      <c r="Q26" s="24">
        <v>-10</v>
      </c>
    </row>
    <row r="27" s="1" customFormat="1" spans="1:17">
      <c r="A27" s="26" t="s">
        <v>28</v>
      </c>
      <c r="B27" s="46" t="s">
        <v>55</v>
      </c>
      <c r="C27" s="47" t="s">
        <v>32</v>
      </c>
      <c r="D27" s="48"/>
      <c r="E27" s="49"/>
      <c r="F27" s="50">
        <v>24</v>
      </c>
      <c r="G27" s="50">
        <v>23</v>
      </c>
      <c r="H27" s="51">
        <v>22</v>
      </c>
      <c r="I27" s="50">
        <v>21</v>
      </c>
      <c r="J27" s="50">
        <v>18</v>
      </c>
      <c r="K27" s="50">
        <v>547</v>
      </c>
      <c r="L27" s="50">
        <v>544</v>
      </c>
      <c r="M27" s="50">
        <v>540</v>
      </c>
      <c r="N27" s="51">
        <v>554</v>
      </c>
      <c r="O27" s="50">
        <v>549</v>
      </c>
      <c r="P27" s="50">
        <v>535</v>
      </c>
      <c r="Q27" s="24">
        <v>-3</v>
      </c>
    </row>
    <row r="28" s="1" customFormat="1" spans="1:17">
      <c r="A28" s="26" t="s">
        <v>28</v>
      </c>
      <c r="B28" s="46" t="s">
        <v>56</v>
      </c>
      <c r="C28" s="47" t="s">
        <v>48</v>
      </c>
      <c r="D28" s="48"/>
      <c r="E28" s="49"/>
      <c r="F28" s="50">
        <v>25</v>
      </c>
      <c r="G28" s="50">
        <v>26</v>
      </c>
      <c r="H28" s="51">
        <v>28</v>
      </c>
      <c r="I28" s="50">
        <v>31</v>
      </c>
      <c r="J28" s="50">
        <v>35</v>
      </c>
      <c r="K28" s="50">
        <v>546</v>
      </c>
      <c r="L28" s="50">
        <v>540</v>
      </c>
      <c r="M28" s="50">
        <v>537</v>
      </c>
      <c r="N28" s="51">
        <v>549</v>
      </c>
      <c r="O28" s="50">
        <v>533</v>
      </c>
      <c r="P28" s="50">
        <v>503</v>
      </c>
      <c r="Q28" s="24">
        <v>-6</v>
      </c>
    </row>
    <row r="29" s="1" customFormat="1" spans="1:17">
      <c r="A29" s="26" t="s">
        <v>28</v>
      </c>
      <c r="B29" s="46" t="s">
        <v>57</v>
      </c>
      <c r="C29" s="47" t="s">
        <v>36</v>
      </c>
      <c r="D29" s="48"/>
      <c r="E29" s="49"/>
      <c r="F29" s="50">
        <v>26</v>
      </c>
      <c r="G29" s="50">
        <v>25</v>
      </c>
      <c r="H29" s="51">
        <v>24</v>
      </c>
      <c r="I29" s="50">
        <v>22</v>
      </c>
      <c r="J29" s="50">
        <v>18</v>
      </c>
      <c r="K29" s="50">
        <v>545</v>
      </c>
      <c r="L29" s="50">
        <v>538</v>
      </c>
      <c r="M29" s="50">
        <v>538</v>
      </c>
      <c r="N29" s="51">
        <v>552</v>
      </c>
      <c r="O29" s="50">
        <v>544</v>
      </c>
      <c r="P29" s="50">
        <v>535</v>
      </c>
      <c r="Q29" s="24">
        <v>-7</v>
      </c>
    </row>
    <row r="30" s="1" customFormat="1" spans="1:17">
      <c r="A30" s="26" t="s">
        <v>28</v>
      </c>
      <c r="B30" s="46" t="s">
        <v>58</v>
      </c>
      <c r="C30" s="47" t="s">
        <v>36</v>
      </c>
      <c r="D30" s="48"/>
      <c r="E30" s="49"/>
      <c r="F30" s="50">
        <v>27</v>
      </c>
      <c r="G30" s="50">
        <v>24</v>
      </c>
      <c r="H30" s="50">
        <v>25</v>
      </c>
      <c r="I30" s="50">
        <v>27</v>
      </c>
      <c r="J30" s="50">
        <v>28</v>
      </c>
      <c r="K30" s="50">
        <v>545</v>
      </c>
      <c r="L30" s="50">
        <v>540</v>
      </c>
      <c r="M30" s="50">
        <v>539</v>
      </c>
      <c r="N30" s="51">
        <v>550</v>
      </c>
      <c r="O30" s="50">
        <v>537</v>
      </c>
      <c r="P30" s="50">
        <v>517</v>
      </c>
      <c r="Q30" s="24">
        <v>-5</v>
      </c>
    </row>
    <row r="31" s="1" customFormat="1" spans="1:17">
      <c r="A31" s="26" t="s">
        <v>28</v>
      </c>
      <c r="B31" s="46" t="s">
        <v>59</v>
      </c>
      <c r="C31" s="47" t="s">
        <v>36</v>
      </c>
      <c r="D31" s="48"/>
      <c r="E31" s="49"/>
      <c r="F31" s="50">
        <v>28</v>
      </c>
      <c r="G31" s="50">
        <v>28</v>
      </c>
      <c r="H31" s="50">
        <v>31</v>
      </c>
      <c r="I31" s="50"/>
      <c r="J31" s="50"/>
      <c r="K31" s="50">
        <v>544</v>
      </c>
      <c r="L31" s="50">
        <v>535</v>
      </c>
      <c r="M31" s="50">
        <v>534</v>
      </c>
      <c r="N31" s="50">
        <v>546</v>
      </c>
      <c r="O31" s="50" t="s">
        <v>52</v>
      </c>
      <c r="P31" s="50" t="s">
        <v>52</v>
      </c>
      <c r="Q31" s="24">
        <v>-9</v>
      </c>
    </row>
    <row r="32" s="1" customFormat="1" spans="1:17">
      <c r="A32" s="26" t="s">
        <v>28</v>
      </c>
      <c r="B32" s="33" t="s">
        <v>60</v>
      </c>
      <c r="C32" s="34" t="s">
        <v>48</v>
      </c>
      <c r="D32" s="35"/>
      <c r="E32" s="36"/>
      <c r="F32" s="37">
        <v>29</v>
      </c>
      <c r="G32" s="37">
        <v>34</v>
      </c>
      <c r="H32" s="38">
        <v>38</v>
      </c>
      <c r="I32" s="37">
        <v>35</v>
      </c>
      <c r="J32" s="37">
        <v>32</v>
      </c>
      <c r="K32" s="37">
        <v>542</v>
      </c>
      <c r="L32" s="37">
        <v>537</v>
      </c>
      <c r="M32" s="37">
        <v>528</v>
      </c>
      <c r="N32" s="38">
        <v>542</v>
      </c>
      <c r="O32" s="37">
        <v>523</v>
      </c>
      <c r="P32" s="37">
        <v>496</v>
      </c>
      <c r="Q32" s="24">
        <v>-5</v>
      </c>
    </row>
    <row r="33" s="1" customFormat="1" spans="1:17">
      <c r="A33" s="26" t="s">
        <v>28</v>
      </c>
      <c r="B33" s="33" t="s">
        <v>61</v>
      </c>
      <c r="C33" s="34" t="s">
        <v>23</v>
      </c>
      <c r="D33" s="35"/>
      <c r="E33" s="36"/>
      <c r="F33" s="37">
        <v>30</v>
      </c>
      <c r="G33" s="37">
        <v>30</v>
      </c>
      <c r="H33" s="37">
        <v>27</v>
      </c>
      <c r="I33" s="37">
        <v>26</v>
      </c>
      <c r="J33" s="37">
        <v>26</v>
      </c>
      <c r="K33" s="37">
        <v>541</v>
      </c>
      <c r="L33" s="37">
        <v>539</v>
      </c>
      <c r="M33" s="37">
        <v>533</v>
      </c>
      <c r="N33" s="38">
        <v>549</v>
      </c>
      <c r="O33" s="37">
        <v>538</v>
      </c>
      <c r="P33" s="37">
        <v>522</v>
      </c>
      <c r="Q33" s="24">
        <v>-2</v>
      </c>
    </row>
    <row r="34" s="1" customFormat="1" spans="1:17">
      <c r="A34" s="26" t="s">
        <v>28</v>
      </c>
      <c r="B34" s="33" t="s">
        <v>62</v>
      </c>
      <c r="C34" s="34" t="s">
        <v>54</v>
      </c>
      <c r="D34" s="35"/>
      <c r="E34" s="36"/>
      <c r="F34" s="37">
        <v>31</v>
      </c>
      <c r="G34" s="37">
        <v>27</v>
      </c>
      <c r="H34" s="38">
        <v>30</v>
      </c>
      <c r="I34" s="37">
        <v>36</v>
      </c>
      <c r="J34" s="37">
        <v>45</v>
      </c>
      <c r="K34" s="37">
        <v>540</v>
      </c>
      <c r="L34" s="37">
        <v>530</v>
      </c>
      <c r="M34" s="37">
        <v>535</v>
      </c>
      <c r="N34" s="38">
        <v>546</v>
      </c>
      <c r="O34" s="37">
        <v>526</v>
      </c>
      <c r="P34" s="37">
        <v>485</v>
      </c>
      <c r="Q34" s="24">
        <v>-10</v>
      </c>
    </row>
    <row r="35" s="1" customFormat="1" spans="1:17">
      <c r="A35" s="26" t="s">
        <v>28</v>
      </c>
      <c r="B35" s="33" t="s">
        <v>63</v>
      </c>
      <c r="C35" s="34" t="s">
        <v>27</v>
      </c>
      <c r="D35" s="35"/>
      <c r="E35" s="36"/>
      <c r="F35" s="37">
        <v>32</v>
      </c>
      <c r="G35" s="37">
        <v>29</v>
      </c>
      <c r="H35" s="38">
        <v>26</v>
      </c>
      <c r="I35" s="37">
        <v>23</v>
      </c>
      <c r="J35" s="37">
        <v>25</v>
      </c>
      <c r="K35" s="37">
        <v>539</v>
      </c>
      <c r="L35" s="37">
        <v>525</v>
      </c>
      <c r="M35" s="37">
        <v>533</v>
      </c>
      <c r="N35" s="38">
        <v>549</v>
      </c>
      <c r="O35" s="37">
        <v>542</v>
      </c>
      <c r="P35" s="37">
        <v>524</v>
      </c>
      <c r="Q35" s="24">
        <v>-14</v>
      </c>
    </row>
    <row r="36" s="1" customFormat="1" spans="1:17">
      <c r="A36" s="26" t="s">
        <v>28</v>
      </c>
      <c r="B36" s="33" t="s">
        <v>64</v>
      </c>
      <c r="C36" s="34" t="s">
        <v>43</v>
      </c>
      <c r="D36" s="35"/>
      <c r="E36" s="36"/>
      <c r="F36" s="37">
        <v>33</v>
      </c>
      <c r="G36" s="37">
        <v>33</v>
      </c>
      <c r="H36" s="37">
        <v>35</v>
      </c>
      <c r="I36" s="37">
        <v>38</v>
      </c>
      <c r="J36" s="37">
        <v>40</v>
      </c>
      <c r="K36" s="37">
        <v>537</v>
      </c>
      <c r="L36" s="37">
        <v>531</v>
      </c>
      <c r="M36" s="37">
        <v>529</v>
      </c>
      <c r="N36" s="38">
        <v>544</v>
      </c>
      <c r="O36" s="37">
        <v>521</v>
      </c>
      <c r="P36" s="37">
        <v>496</v>
      </c>
      <c r="Q36" s="24">
        <v>-6</v>
      </c>
    </row>
    <row r="37" s="1" customFormat="1" spans="1:17">
      <c r="A37" s="26" t="s">
        <v>28</v>
      </c>
      <c r="B37" s="33" t="s">
        <v>65</v>
      </c>
      <c r="C37" s="34" t="s">
        <v>43</v>
      </c>
      <c r="D37" s="35"/>
      <c r="E37" s="36"/>
      <c r="F37" s="37">
        <v>34</v>
      </c>
      <c r="G37" s="37">
        <v>31</v>
      </c>
      <c r="H37" s="38">
        <v>32</v>
      </c>
      <c r="I37" s="37">
        <v>32</v>
      </c>
      <c r="J37" s="37">
        <v>33</v>
      </c>
      <c r="K37" s="37">
        <v>537</v>
      </c>
      <c r="L37" s="37">
        <v>529</v>
      </c>
      <c r="M37" s="37">
        <v>530</v>
      </c>
      <c r="N37" s="38">
        <v>545</v>
      </c>
      <c r="O37" s="37">
        <v>529</v>
      </c>
      <c r="P37" s="37">
        <v>503</v>
      </c>
      <c r="Q37" s="24">
        <v>-8</v>
      </c>
    </row>
    <row r="38" s="1" customFormat="1" spans="1:17">
      <c r="A38" s="26" t="s">
        <v>28</v>
      </c>
      <c r="B38" s="27" t="s">
        <v>66</v>
      </c>
      <c r="C38" s="28" t="s">
        <v>23</v>
      </c>
      <c r="D38" s="29"/>
      <c r="E38" s="30"/>
      <c r="F38" s="31">
        <v>35</v>
      </c>
      <c r="G38" s="31">
        <v>32</v>
      </c>
      <c r="H38" s="31">
        <v>29</v>
      </c>
      <c r="I38" s="31">
        <v>30</v>
      </c>
      <c r="J38" s="31">
        <v>30</v>
      </c>
      <c r="K38" s="31">
        <v>536</v>
      </c>
      <c r="L38" s="31">
        <v>533</v>
      </c>
      <c r="M38" s="31">
        <v>530</v>
      </c>
      <c r="N38" s="32">
        <v>547</v>
      </c>
      <c r="O38" s="31">
        <v>534</v>
      </c>
      <c r="P38" s="31">
        <v>512</v>
      </c>
      <c r="Q38" s="24">
        <v>-3</v>
      </c>
    </row>
    <row r="39" s="1" customFormat="1" spans="1:17">
      <c r="A39" s="26" t="s">
        <v>28</v>
      </c>
      <c r="B39" s="27" t="s">
        <v>67</v>
      </c>
      <c r="C39" s="28" t="s">
        <v>36</v>
      </c>
      <c r="D39" s="29"/>
      <c r="E39" s="30"/>
      <c r="F39" s="31">
        <v>36</v>
      </c>
      <c r="G39" s="31">
        <v>39</v>
      </c>
      <c r="H39" s="32">
        <v>44</v>
      </c>
      <c r="I39" s="31">
        <v>47</v>
      </c>
      <c r="J39" s="31"/>
      <c r="K39" s="31">
        <v>536</v>
      </c>
      <c r="L39" s="31">
        <v>524</v>
      </c>
      <c r="M39" s="31">
        <v>523</v>
      </c>
      <c r="N39" s="31">
        <v>532</v>
      </c>
      <c r="O39" s="31">
        <v>495</v>
      </c>
      <c r="P39" s="31" t="s">
        <v>52</v>
      </c>
      <c r="Q39" s="24">
        <v>-12</v>
      </c>
    </row>
    <row r="40" s="1" customFormat="1" spans="1:17">
      <c r="A40" s="26" t="s">
        <v>28</v>
      </c>
      <c r="B40" s="27" t="s">
        <v>68</v>
      </c>
      <c r="C40" s="28" t="s">
        <v>25</v>
      </c>
      <c r="D40" s="29"/>
      <c r="E40" s="30"/>
      <c r="F40" s="31">
        <v>37</v>
      </c>
      <c r="G40" s="31">
        <v>36</v>
      </c>
      <c r="H40" s="31">
        <v>37</v>
      </c>
      <c r="I40" s="31">
        <v>34</v>
      </c>
      <c r="J40" s="31">
        <v>36</v>
      </c>
      <c r="K40" s="31">
        <v>536</v>
      </c>
      <c r="L40" s="31">
        <v>533</v>
      </c>
      <c r="M40" s="31">
        <v>527</v>
      </c>
      <c r="N40" s="32">
        <v>544</v>
      </c>
      <c r="O40" s="31">
        <v>528</v>
      </c>
      <c r="P40" s="31">
        <v>503</v>
      </c>
      <c r="Q40" s="24">
        <v>-3</v>
      </c>
    </row>
    <row r="41" s="1" customFormat="1" spans="1:17">
      <c r="A41" s="52" t="s">
        <v>69</v>
      </c>
      <c r="B41" s="27" t="s">
        <v>70</v>
      </c>
      <c r="C41" s="28" t="s">
        <v>36</v>
      </c>
      <c r="D41" s="29"/>
      <c r="E41" s="30"/>
      <c r="F41" s="31">
        <v>38</v>
      </c>
      <c r="G41" s="31">
        <v>37</v>
      </c>
      <c r="H41" s="32">
        <v>36</v>
      </c>
      <c r="I41" s="31">
        <v>33</v>
      </c>
      <c r="J41" s="31"/>
      <c r="K41" s="31">
        <v>532</v>
      </c>
      <c r="L41" s="31">
        <v>519</v>
      </c>
      <c r="M41" s="31">
        <v>526</v>
      </c>
      <c r="N41" s="32">
        <v>544</v>
      </c>
      <c r="O41" s="31">
        <v>529</v>
      </c>
      <c r="P41" s="31" t="s">
        <v>52</v>
      </c>
      <c r="Q41" s="24">
        <v>-13</v>
      </c>
    </row>
    <row r="42" s="1" customFormat="1" spans="1:17">
      <c r="A42" s="52" t="s">
        <v>69</v>
      </c>
      <c r="B42" s="27" t="s">
        <v>71</v>
      </c>
      <c r="C42" s="28" t="s">
        <v>21</v>
      </c>
      <c r="D42" s="29"/>
      <c r="E42" s="30"/>
      <c r="F42" s="31">
        <v>39</v>
      </c>
      <c r="G42" s="31">
        <v>42</v>
      </c>
      <c r="H42" s="31">
        <v>39</v>
      </c>
      <c r="I42" s="31">
        <v>37</v>
      </c>
      <c r="J42" s="31">
        <v>39</v>
      </c>
      <c r="K42" s="31">
        <v>532</v>
      </c>
      <c r="L42" s="31">
        <v>519</v>
      </c>
      <c r="M42" s="31">
        <v>522</v>
      </c>
      <c r="N42" s="32">
        <v>542</v>
      </c>
      <c r="O42" s="31">
        <v>527</v>
      </c>
      <c r="P42" s="31">
        <v>509</v>
      </c>
      <c r="Q42" s="24">
        <v>-13</v>
      </c>
    </row>
    <row r="43" s="1" customFormat="1" spans="1:17">
      <c r="A43" s="52" t="s">
        <v>69</v>
      </c>
      <c r="B43" s="27" t="s">
        <v>72</v>
      </c>
      <c r="C43" s="28" t="s">
        <v>32</v>
      </c>
      <c r="D43" s="29"/>
      <c r="E43" s="30"/>
      <c r="F43" s="31">
        <v>40</v>
      </c>
      <c r="G43" s="31">
        <v>35</v>
      </c>
      <c r="H43" s="32">
        <v>34</v>
      </c>
      <c r="I43" s="31">
        <v>29</v>
      </c>
      <c r="J43" s="31">
        <v>29</v>
      </c>
      <c r="K43" s="31">
        <v>532</v>
      </c>
      <c r="L43" s="31">
        <v>527</v>
      </c>
      <c r="M43" s="31">
        <v>527</v>
      </c>
      <c r="N43" s="32">
        <v>545</v>
      </c>
      <c r="O43" s="31">
        <v>535</v>
      </c>
      <c r="P43" s="31">
        <v>513</v>
      </c>
      <c r="Q43" s="24">
        <v>-5</v>
      </c>
    </row>
    <row r="44" s="1" customFormat="1" spans="1:17">
      <c r="A44" s="52" t="s">
        <v>69</v>
      </c>
      <c r="B44" s="27" t="s">
        <v>73</v>
      </c>
      <c r="C44" s="28" t="s">
        <v>25</v>
      </c>
      <c r="D44" s="29"/>
      <c r="E44" s="30"/>
      <c r="F44" s="31">
        <v>41</v>
      </c>
      <c r="G44" s="31">
        <v>41</v>
      </c>
      <c r="H44" s="31">
        <v>41</v>
      </c>
      <c r="I44" s="31">
        <v>43</v>
      </c>
      <c r="J44" s="31">
        <v>43</v>
      </c>
      <c r="K44" s="31">
        <v>532</v>
      </c>
      <c r="L44" s="31">
        <v>525</v>
      </c>
      <c r="M44" s="31">
        <v>523</v>
      </c>
      <c r="N44" s="53">
        <v>538</v>
      </c>
      <c r="O44" s="31">
        <v>506</v>
      </c>
      <c r="P44" s="31">
        <v>488</v>
      </c>
      <c r="Q44" s="24">
        <v>-7</v>
      </c>
    </row>
    <row r="45" s="1" customFormat="1" spans="1:17">
      <c r="A45" s="52" t="s">
        <v>69</v>
      </c>
      <c r="B45" s="54" t="s">
        <v>74</v>
      </c>
      <c r="C45" s="55" t="s">
        <v>32</v>
      </c>
      <c r="D45" s="56"/>
      <c r="E45" s="57"/>
      <c r="F45" s="58">
        <v>42</v>
      </c>
      <c r="G45" s="58">
        <v>38</v>
      </c>
      <c r="H45" s="58">
        <v>33</v>
      </c>
      <c r="I45" s="58"/>
      <c r="J45" s="58"/>
      <c r="K45" s="58">
        <v>531</v>
      </c>
      <c r="L45" s="58">
        <v>521</v>
      </c>
      <c r="M45" s="58">
        <v>526</v>
      </c>
      <c r="N45" s="59">
        <v>545</v>
      </c>
      <c r="O45" s="58">
        <v>518</v>
      </c>
      <c r="P45" s="58">
        <v>400</v>
      </c>
      <c r="Q45" s="24">
        <v>-10</v>
      </c>
    </row>
    <row r="46" s="1" customFormat="1" spans="1:17">
      <c r="A46" s="52" t="s">
        <v>69</v>
      </c>
      <c r="B46" s="54" t="s">
        <v>75</v>
      </c>
      <c r="C46" s="55" t="s">
        <v>54</v>
      </c>
      <c r="D46" s="56"/>
      <c r="E46" s="57"/>
      <c r="F46" s="58">
        <v>43</v>
      </c>
      <c r="G46" s="58">
        <v>44</v>
      </c>
      <c r="H46" s="59">
        <v>48</v>
      </c>
      <c r="I46" s="58">
        <v>50</v>
      </c>
      <c r="J46" s="58">
        <v>46</v>
      </c>
      <c r="K46" s="58">
        <v>531</v>
      </c>
      <c r="L46" s="58">
        <v>519</v>
      </c>
      <c r="M46" s="58">
        <v>518</v>
      </c>
      <c r="N46" s="58">
        <v>528</v>
      </c>
      <c r="O46" s="58">
        <v>489</v>
      </c>
      <c r="P46" s="58">
        <v>484</v>
      </c>
      <c r="Q46" s="24">
        <v>-12</v>
      </c>
    </row>
    <row r="47" s="1" customFormat="1" spans="1:17">
      <c r="A47" s="52" t="s">
        <v>69</v>
      </c>
      <c r="B47" s="54" t="s">
        <v>76</v>
      </c>
      <c r="C47" s="55" t="s">
        <v>43</v>
      </c>
      <c r="D47" s="56"/>
      <c r="E47" s="57"/>
      <c r="F47" s="58">
        <v>44</v>
      </c>
      <c r="G47" s="58">
        <v>40</v>
      </c>
      <c r="H47" s="59">
        <v>40</v>
      </c>
      <c r="I47" s="58">
        <v>39</v>
      </c>
      <c r="J47" s="58">
        <v>34</v>
      </c>
      <c r="K47" s="58">
        <v>530</v>
      </c>
      <c r="L47" s="58">
        <v>521</v>
      </c>
      <c r="M47" s="58">
        <v>523</v>
      </c>
      <c r="N47" s="59">
        <v>541</v>
      </c>
      <c r="O47" s="58">
        <v>514</v>
      </c>
      <c r="P47" s="58">
        <v>503</v>
      </c>
      <c r="Q47" s="24">
        <v>-9</v>
      </c>
    </row>
    <row r="48" s="1" customFormat="1" spans="1:17">
      <c r="A48" s="52" t="s">
        <v>69</v>
      </c>
      <c r="B48" s="54" t="s">
        <v>77</v>
      </c>
      <c r="C48" s="55" t="s">
        <v>32</v>
      </c>
      <c r="D48" s="56"/>
      <c r="E48" s="57"/>
      <c r="F48" s="58">
        <v>45</v>
      </c>
      <c r="G48" s="58">
        <v>43</v>
      </c>
      <c r="H48" s="59">
        <v>42</v>
      </c>
      <c r="I48" s="58">
        <v>44</v>
      </c>
      <c r="J48" s="58"/>
      <c r="K48" s="58">
        <v>528</v>
      </c>
      <c r="L48" s="58">
        <v>504</v>
      </c>
      <c r="M48" s="58">
        <v>520</v>
      </c>
      <c r="N48" s="59">
        <v>537</v>
      </c>
      <c r="O48" s="58">
        <v>505</v>
      </c>
      <c r="P48" s="58" t="s">
        <v>52</v>
      </c>
      <c r="Q48" s="24">
        <v>-24</v>
      </c>
    </row>
    <row r="49" s="1" customFormat="1" spans="1:17">
      <c r="A49" s="52" t="s">
        <v>69</v>
      </c>
      <c r="B49" s="60" t="s">
        <v>78</v>
      </c>
      <c r="C49" s="61" t="s">
        <v>25</v>
      </c>
      <c r="D49" s="62"/>
      <c r="E49" s="63"/>
      <c r="F49" s="64">
        <v>46</v>
      </c>
      <c r="G49" s="64">
        <v>46</v>
      </c>
      <c r="H49" s="64">
        <v>47</v>
      </c>
      <c r="I49" s="64">
        <v>45</v>
      </c>
      <c r="J49" s="64">
        <v>41</v>
      </c>
      <c r="K49" s="64">
        <v>524</v>
      </c>
      <c r="L49" s="64">
        <v>519</v>
      </c>
      <c r="M49" s="64">
        <v>513</v>
      </c>
      <c r="N49" s="64">
        <v>530</v>
      </c>
      <c r="O49" s="64">
        <v>500</v>
      </c>
      <c r="P49" s="64">
        <v>494</v>
      </c>
      <c r="Q49" s="24">
        <v>-5</v>
      </c>
    </row>
    <row r="50" s="1" customFormat="1" spans="1:17">
      <c r="A50" s="52" t="s">
        <v>69</v>
      </c>
      <c r="B50" s="60" t="s">
        <v>79</v>
      </c>
      <c r="C50" s="61" t="s">
        <v>36</v>
      </c>
      <c r="D50" s="62"/>
      <c r="E50" s="63"/>
      <c r="F50" s="64">
        <v>47</v>
      </c>
      <c r="G50" s="64">
        <v>45</v>
      </c>
      <c r="H50" s="65">
        <v>46</v>
      </c>
      <c r="I50" s="64">
        <v>41</v>
      </c>
      <c r="J50" s="64">
        <v>38</v>
      </c>
      <c r="K50" s="64">
        <v>524</v>
      </c>
      <c r="L50" s="64">
        <v>514</v>
      </c>
      <c r="M50" s="64">
        <v>514</v>
      </c>
      <c r="N50" s="65">
        <v>531</v>
      </c>
      <c r="O50" s="64">
        <v>507</v>
      </c>
      <c r="P50" s="64">
        <v>497</v>
      </c>
      <c r="Q50" s="24">
        <v>-10</v>
      </c>
    </row>
    <row r="51" s="1" customFormat="1" spans="1:17">
      <c r="A51" s="52" t="s">
        <v>69</v>
      </c>
      <c r="B51" s="60" t="s">
        <v>80</v>
      </c>
      <c r="C51" s="61" t="s">
        <v>36</v>
      </c>
      <c r="D51" s="62"/>
      <c r="E51" s="63"/>
      <c r="F51" s="64">
        <v>48</v>
      </c>
      <c r="G51" s="64">
        <v>47</v>
      </c>
      <c r="H51" s="64">
        <v>45</v>
      </c>
      <c r="I51" s="64">
        <v>42</v>
      </c>
      <c r="J51" s="64"/>
      <c r="K51" s="64">
        <v>524</v>
      </c>
      <c r="L51" s="64">
        <v>496</v>
      </c>
      <c r="M51" s="64">
        <v>512</v>
      </c>
      <c r="N51" s="65">
        <v>532</v>
      </c>
      <c r="O51" s="64">
        <v>507</v>
      </c>
      <c r="P51" s="64" t="s">
        <v>52</v>
      </c>
      <c r="Q51" s="24">
        <v>-28</v>
      </c>
    </row>
    <row r="52" s="1" customFormat="1" spans="1:17">
      <c r="A52" s="52" t="s">
        <v>69</v>
      </c>
      <c r="B52" s="60" t="s">
        <v>81</v>
      </c>
      <c r="C52" s="61" t="s">
        <v>21</v>
      </c>
      <c r="D52" s="62"/>
      <c r="E52" s="63"/>
      <c r="F52" s="64">
        <v>49</v>
      </c>
      <c r="G52" s="64">
        <v>48</v>
      </c>
      <c r="H52" s="65">
        <v>50</v>
      </c>
      <c r="I52" s="64">
        <v>49</v>
      </c>
      <c r="J52" s="64">
        <v>48</v>
      </c>
      <c r="K52" s="64">
        <v>523</v>
      </c>
      <c r="L52" s="64">
        <v>518</v>
      </c>
      <c r="M52" s="64">
        <v>510</v>
      </c>
      <c r="N52" s="64">
        <v>526</v>
      </c>
      <c r="O52" s="64">
        <v>492</v>
      </c>
      <c r="P52" s="64">
        <v>479</v>
      </c>
      <c r="Q52" s="24">
        <v>-5</v>
      </c>
    </row>
    <row r="53" s="1" customFormat="1" spans="1:17">
      <c r="A53" s="52" t="s">
        <v>69</v>
      </c>
      <c r="B53" s="60" t="s">
        <v>82</v>
      </c>
      <c r="C53" s="61" t="s">
        <v>32</v>
      </c>
      <c r="D53" s="62"/>
      <c r="E53" s="63"/>
      <c r="F53" s="64">
        <v>50</v>
      </c>
      <c r="G53" s="64">
        <v>52</v>
      </c>
      <c r="H53" s="64">
        <v>55</v>
      </c>
      <c r="I53" s="64">
        <v>54</v>
      </c>
      <c r="J53" s="64"/>
      <c r="K53" s="64">
        <v>521</v>
      </c>
      <c r="L53" s="64">
        <v>487</v>
      </c>
      <c r="M53" s="64">
        <v>504</v>
      </c>
      <c r="N53" s="64">
        <v>515</v>
      </c>
      <c r="O53" s="64">
        <v>478</v>
      </c>
      <c r="P53" s="64" t="s">
        <v>52</v>
      </c>
      <c r="Q53" s="24">
        <v>-34</v>
      </c>
    </row>
    <row r="54" s="1" customFormat="1" spans="1:17">
      <c r="A54" s="52" t="s">
        <v>69</v>
      </c>
      <c r="B54" s="60" t="s">
        <v>83</v>
      </c>
      <c r="C54" s="61" t="s">
        <v>45</v>
      </c>
      <c r="D54" s="62"/>
      <c r="E54" s="63"/>
      <c r="F54" s="64">
        <v>51</v>
      </c>
      <c r="G54" s="64">
        <v>50</v>
      </c>
      <c r="H54" s="65">
        <v>52</v>
      </c>
      <c r="I54" s="64"/>
      <c r="J54" s="64"/>
      <c r="K54" s="64">
        <v>521</v>
      </c>
      <c r="L54" s="64">
        <v>501</v>
      </c>
      <c r="M54" s="64">
        <v>508</v>
      </c>
      <c r="N54" s="64">
        <v>522</v>
      </c>
      <c r="O54" s="64" t="s">
        <v>52</v>
      </c>
      <c r="P54" s="64" t="s">
        <v>52</v>
      </c>
      <c r="Q54" s="24">
        <v>-20</v>
      </c>
    </row>
    <row r="55" s="1" customFormat="1" spans="1:17">
      <c r="A55" s="52" t="s">
        <v>69</v>
      </c>
      <c r="B55" s="46" t="s">
        <v>84</v>
      </c>
      <c r="C55" s="47" t="s">
        <v>36</v>
      </c>
      <c r="D55" s="48"/>
      <c r="E55" s="49"/>
      <c r="F55" s="50">
        <v>52</v>
      </c>
      <c r="G55" s="50">
        <v>53</v>
      </c>
      <c r="H55" s="50">
        <v>53</v>
      </c>
      <c r="I55" s="50">
        <v>52</v>
      </c>
      <c r="J55" s="50">
        <v>44</v>
      </c>
      <c r="K55" s="50">
        <v>519</v>
      </c>
      <c r="L55" s="50">
        <v>509</v>
      </c>
      <c r="M55" s="50">
        <v>504</v>
      </c>
      <c r="N55" s="50">
        <v>519</v>
      </c>
      <c r="O55" s="50">
        <v>485</v>
      </c>
      <c r="P55" s="50">
        <v>485</v>
      </c>
      <c r="Q55" s="24">
        <v>-10</v>
      </c>
    </row>
    <row r="56" s="1" customFormat="1" spans="1:17">
      <c r="A56" s="52" t="s">
        <v>69</v>
      </c>
      <c r="B56" s="46" t="s">
        <v>85</v>
      </c>
      <c r="C56" s="47" t="s">
        <v>36</v>
      </c>
      <c r="D56" s="48"/>
      <c r="E56" s="49"/>
      <c r="F56" s="50">
        <v>53</v>
      </c>
      <c r="G56" s="50">
        <v>54</v>
      </c>
      <c r="H56" s="50">
        <v>58</v>
      </c>
      <c r="I56" s="50"/>
      <c r="J56" s="50" t="s">
        <v>86</v>
      </c>
      <c r="K56" s="50">
        <v>517</v>
      </c>
      <c r="L56" s="50">
        <v>491</v>
      </c>
      <c r="M56" s="50">
        <v>503</v>
      </c>
      <c r="N56" s="50">
        <v>510</v>
      </c>
      <c r="O56" s="50" t="s">
        <v>52</v>
      </c>
      <c r="P56" s="50" t="s">
        <v>52</v>
      </c>
      <c r="Q56" s="24">
        <v>-26</v>
      </c>
    </row>
    <row r="57" s="1" customFormat="1" spans="1:17">
      <c r="A57" s="52" t="s">
        <v>69</v>
      </c>
      <c r="B57" s="46" t="s">
        <v>87</v>
      </c>
      <c r="C57" s="47" t="s">
        <v>48</v>
      </c>
      <c r="D57" s="48"/>
      <c r="E57" s="49"/>
      <c r="F57" s="50">
        <v>54</v>
      </c>
      <c r="G57" s="50">
        <v>55</v>
      </c>
      <c r="H57" s="51">
        <v>54</v>
      </c>
      <c r="I57" s="50">
        <v>53</v>
      </c>
      <c r="J57" s="50"/>
      <c r="K57" s="50">
        <v>514</v>
      </c>
      <c r="L57" s="50">
        <v>503</v>
      </c>
      <c r="M57" s="50">
        <v>502</v>
      </c>
      <c r="N57" s="50">
        <v>517</v>
      </c>
      <c r="O57" s="50">
        <v>480</v>
      </c>
      <c r="P57" s="50" t="s">
        <v>52</v>
      </c>
      <c r="Q57" s="24">
        <v>-11</v>
      </c>
    </row>
    <row r="58" s="1" customFormat="1" spans="1:17">
      <c r="A58" s="52" t="s">
        <v>69</v>
      </c>
      <c r="B58" s="33" t="s">
        <v>88</v>
      </c>
      <c r="C58" s="34" t="s">
        <v>32</v>
      </c>
      <c r="D58" s="35"/>
      <c r="E58" s="36"/>
      <c r="F58" s="37">
        <v>55</v>
      </c>
      <c r="G58" s="37">
        <v>56</v>
      </c>
      <c r="H58" s="38">
        <v>56</v>
      </c>
      <c r="I58" s="37">
        <v>51</v>
      </c>
      <c r="J58" s="37">
        <v>42</v>
      </c>
      <c r="K58" s="37">
        <v>513</v>
      </c>
      <c r="L58" s="37">
        <v>506</v>
      </c>
      <c r="M58" s="37">
        <v>493</v>
      </c>
      <c r="N58" s="37">
        <v>513</v>
      </c>
      <c r="O58" s="37">
        <v>488</v>
      </c>
      <c r="P58" s="37">
        <v>494</v>
      </c>
      <c r="Q58" s="24">
        <v>-7</v>
      </c>
    </row>
    <row r="59" s="1" customFormat="1" spans="1:17">
      <c r="A59" s="52" t="s">
        <v>69</v>
      </c>
      <c r="B59" s="33" t="s">
        <v>89</v>
      </c>
      <c r="C59" s="34" t="s">
        <v>36</v>
      </c>
      <c r="D59" s="35"/>
      <c r="E59" s="36"/>
      <c r="F59" s="37">
        <v>56</v>
      </c>
      <c r="G59" s="37">
        <v>51</v>
      </c>
      <c r="H59" s="37">
        <v>51</v>
      </c>
      <c r="I59" s="37">
        <v>48</v>
      </c>
      <c r="J59" s="37"/>
      <c r="K59" s="37">
        <v>512</v>
      </c>
      <c r="L59" s="37">
        <v>482</v>
      </c>
      <c r="M59" s="37">
        <v>507</v>
      </c>
      <c r="N59" s="37">
        <v>525</v>
      </c>
      <c r="O59" s="37">
        <v>494</v>
      </c>
      <c r="P59" s="37" t="s">
        <v>52</v>
      </c>
      <c r="Q59" s="24">
        <v>-30</v>
      </c>
    </row>
    <row r="60" s="1" customFormat="1" spans="1:17">
      <c r="A60" s="52" t="s">
        <v>69</v>
      </c>
      <c r="B60" s="33" t="s">
        <v>90</v>
      </c>
      <c r="C60" s="34" t="s">
        <v>54</v>
      </c>
      <c r="D60" s="35"/>
      <c r="E60" s="36"/>
      <c r="F60" s="37">
        <v>57</v>
      </c>
      <c r="G60" s="37">
        <v>49</v>
      </c>
      <c r="H60" s="37">
        <v>43</v>
      </c>
      <c r="I60" s="37">
        <v>40</v>
      </c>
      <c r="J60" s="37"/>
      <c r="K60" s="37">
        <v>511</v>
      </c>
      <c r="L60" s="37">
        <v>476</v>
      </c>
      <c r="M60" s="37">
        <v>509</v>
      </c>
      <c r="N60" s="38">
        <v>533</v>
      </c>
      <c r="O60" s="37">
        <v>503</v>
      </c>
      <c r="P60" s="37" t="s">
        <v>52</v>
      </c>
      <c r="Q60" s="24">
        <v>-35</v>
      </c>
    </row>
    <row r="61" s="1" customFormat="1" spans="1:17">
      <c r="A61" s="52" t="s">
        <v>69</v>
      </c>
      <c r="B61" s="33" t="s">
        <v>91</v>
      </c>
      <c r="C61" s="34" t="s">
        <v>54</v>
      </c>
      <c r="D61" s="35"/>
      <c r="E61" s="36"/>
      <c r="F61" s="37">
        <v>58</v>
      </c>
      <c r="G61" s="37">
        <v>57</v>
      </c>
      <c r="H61" s="37">
        <v>63</v>
      </c>
      <c r="I61" s="37">
        <v>59</v>
      </c>
      <c r="J61" s="37"/>
      <c r="K61" s="37">
        <v>511</v>
      </c>
      <c r="L61" s="37">
        <v>480</v>
      </c>
      <c r="M61" s="37">
        <v>492</v>
      </c>
      <c r="N61" s="37">
        <v>503</v>
      </c>
      <c r="O61" s="37">
        <v>346</v>
      </c>
      <c r="P61" s="37" t="s">
        <v>52</v>
      </c>
      <c r="Q61" s="24">
        <v>-31</v>
      </c>
    </row>
    <row r="62" s="1" customFormat="1" spans="1:17">
      <c r="A62" s="52" t="s">
        <v>69</v>
      </c>
      <c r="B62" s="33" t="s">
        <v>92</v>
      </c>
      <c r="C62" s="34" t="s">
        <v>48</v>
      </c>
      <c r="D62" s="35"/>
      <c r="E62" s="36"/>
      <c r="F62" s="37">
        <v>59</v>
      </c>
      <c r="G62" s="37">
        <v>58</v>
      </c>
      <c r="H62" s="37">
        <v>60</v>
      </c>
      <c r="I62" s="37">
        <v>56</v>
      </c>
      <c r="J62" s="37">
        <v>47</v>
      </c>
      <c r="K62" s="37">
        <v>508</v>
      </c>
      <c r="L62" s="37">
        <v>495</v>
      </c>
      <c r="M62" s="37">
        <v>489</v>
      </c>
      <c r="N62" s="37">
        <v>505</v>
      </c>
      <c r="O62" s="37">
        <v>476</v>
      </c>
      <c r="P62" s="37">
        <v>479</v>
      </c>
      <c r="Q62" s="24">
        <v>-13</v>
      </c>
    </row>
    <row r="63" s="1" customFormat="1" spans="1:17">
      <c r="A63" s="52" t="s">
        <v>69</v>
      </c>
      <c r="B63" s="39" t="s">
        <v>93</v>
      </c>
      <c r="C63" s="40" t="s">
        <v>43</v>
      </c>
      <c r="D63" s="41"/>
      <c r="E63" s="42"/>
      <c r="F63" s="43">
        <v>60</v>
      </c>
      <c r="G63" s="43">
        <v>66</v>
      </c>
      <c r="H63" s="43">
        <v>67</v>
      </c>
      <c r="I63" s="43">
        <v>78</v>
      </c>
      <c r="J63" s="43"/>
      <c r="K63" s="43">
        <v>507</v>
      </c>
      <c r="L63" s="43">
        <v>501</v>
      </c>
      <c r="M63" s="43">
        <v>482</v>
      </c>
      <c r="N63" s="43">
        <v>497</v>
      </c>
      <c r="O63" s="43">
        <v>461</v>
      </c>
      <c r="P63" s="43" t="s">
        <v>52</v>
      </c>
      <c r="Q63" s="24">
        <v>-6</v>
      </c>
    </row>
    <row r="64" s="1" customFormat="1" spans="1:17">
      <c r="A64" s="52" t="s">
        <v>69</v>
      </c>
      <c r="B64" s="39" t="s">
        <v>94</v>
      </c>
      <c r="C64" s="40" t="s">
        <v>32</v>
      </c>
      <c r="D64" s="41"/>
      <c r="E64" s="42"/>
      <c r="F64" s="43">
        <v>61</v>
      </c>
      <c r="G64" s="43">
        <v>62</v>
      </c>
      <c r="H64" s="43">
        <v>64</v>
      </c>
      <c r="I64" s="43">
        <v>57</v>
      </c>
      <c r="J64" s="43">
        <v>50</v>
      </c>
      <c r="K64" s="43">
        <v>507</v>
      </c>
      <c r="L64" s="43">
        <v>482</v>
      </c>
      <c r="M64" s="43">
        <v>484</v>
      </c>
      <c r="N64" s="43">
        <v>501</v>
      </c>
      <c r="O64" s="43">
        <v>466</v>
      </c>
      <c r="P64" s="43" t="s">
        <v>52</v>
      </c>
      <c r="Q64" s="24">
        <v>-25</v>
      </c>
    </row>
    <row r="65" s="1" customFormat="1" spans="1:17">
      <c r="A65" s="52" t="s">
        <v>69</v>
      </c>
      <c r="B65" s="39" t="s">
        <v>95</v>
      </c>
      <c r="C65" s="40" t="s">
        <v>32</v>
      </c>
      <c r="D65" s="41"/>
      <c r="E65" s="42"/>
      <c r="F65" s="43">
        <v>62</v>
      </c>
      <c r="G65" s="43">
        <v>60</v>
      </c>
      <c r="H65" s="43">
        <v>61</v>
      </c>
      <c r="I65" s="43">
        <v>61</v>
      </c>
      <c r="J65" s="43"/>
      <c r="K65" s="43">
        <v>504</v>
      </c>
      <c r="L65" s="43">
        <v>488</v>
      </c>
      <c r="M65" s="43">
        <v>485</v>
      </c>
      <c r="N65" s="43">
        <v>504</v>
      </c>
      <c r="O65" s="43">
        <v>475</v>
      </c>
      <c r="P65" s="43">
        <v>482</v>
      </c>
      <c r="Q65" s="24">
        <v>-16</v>
      </c>
    </row>
    <row r="66" s="1" customFormat="1" spans="1:17">
      <c r="A66" s="52" t="s">
        <v>69</v>
      </c>
      <c r="B66" s="39" t="s">
        <v>96</v>
      </c>
      <c r="C66" s="40" t="s">
        <v>25</v>
      </c>
      <c r="D66" s="41"/>
      <c r="E66" s="42"/>
      <c r="F66" s="43">
        <v>63</v>
      </c>
      <c r="G66" s="43">
        <v>59</v>
      </c>
      <c r="H66" s="43">
        <v>66</v>
      </c>
      <c r="I66" s="43">
        <v>60</v>
      </c>
      <c r="J66" s="43"/>
      <c r="K66" s="43">
        <v>503</v>
      </c>
      <c r="L66" s="43" t="s">
        <v>97</v>
      </c>
      <c r="M66" s="43">
        <v>487</v>
      </c>
      <c r="N66" s="43">
        <v>499</v>
      </c>
      <c r="O66" s="43">
        <v>495</v>
      </c>
      <c r="P66" s="43">
        <v>508</v>
      </c>
      <c r="Q66" s="24" t="s">
        <v>97</v>
      </c>
    </row>
    <row r="67" s="1" customFormat="1" spans="1:17">
      <c r="A67" s="52" t="s">
        <v>69</v>
      </c>
      <c r="B67" s="39" t="s">
        <v>98</v>
      </c>
      <c r="C67" s="40" t="s">
        <v>54</v>
      </c>
      <c r="D67" s="41"/>
      <c r="E67" s="42"/>
      <c r="F67" s="43">
        <v>64</v>
      </c>
      <c r="G67" s="43">
        <v>67</v>
      </c>
      <c r="H67" s="43">
        <v>68</v>
      </c>
      <c r="I67" s="43">
        <v>58</v>
      </c>
      <c r="J67" s="43">
        <v>51</v>
      </c>
      <c r="K67" s="43">
        <v>503</v>
      </c>
      <c r="L67" s="43">
        <v>474</v>
      </c>
      <c r="M67" s="43">
        <v>481</v>
      </c>
      <c r="N67" s="43">
        <v>496</v>
      </c>
      <c r="O67" s="43">
        <v>345</v>
      </c>
      <c r="P67" s="43" t="s">
        <v>52</v>
      </c>
      <c r="Q67" s="24">
        <v>-29</v>
      </c>
    </row>
    <row r="68" s="1" customFormat="1" spans="1:17">
      <c r="A68" s="52" t="s">
        <v>69</v>
      </c>
      <c r="B68" s="39" t="s">
        <v>99</v>
      </c>
      <c r="C68" s="40" t="s">
        <v>43</v>
      </c>
      <c r="D68" s="41"/>
      <c r="E68" s="42"/>
      <c r="F68" s="43">
        <v>65</v>
      </c>
      <c r="G68" s="43">
        <v>69</v>
      </c>
      <c r="H68" s="43">
        <v>70</v>
      </c>
      <c r="I68" s="43">
        <v>76</v>
      </c>
      <c r="J68" s="43"/>
      <c r="K68" s="43">
        <v>501</v>
      </c>
      <c r="L68" s="43">
        <v>484</v>
      </c>
      <c r="M68" s="43">
        <v>474</v>
      </c>
      <c r="N68" s="43">
        <v>492</v>
      </c>
      <c r="O68" s="43" t="s">
        <v>52</v>
      </c>
      <c r="P68" s="43" t="s">
        <v>52</v>
      </c>
      <c r="Q68" s="24">
        <v>-17</v>
      </c>
    </row>
    <row r="69" s="1" customFormat="1" spans="1:17">
      <c r="A69" s="52" t="s">
        <v>69</v>
      </c>
      <c r="B69" s="39" t="s">
        <v>100</v>
      </c>
      <c r="C69" s="40" t="s">
        <v>54</v>
      </c>
      <c r="D69" s="41"/>
      <c r="E69" s="42"/>
      <c r="F69" s="43">
        <v>66</v>
      </c>
      <c r="G69" s="43">
        <v>70</v>
      </c>
      <c r="H69" s="43">
        <v>74</v>
      </c>
      <c r="I69" s="43"/>
      <c r="J69" s="43"/>
      <c r="K69" s="43">
        <v>501</v>
      </c>
      <c r="L69" s="43">
        <v>483</v>
      </c>
      <c r="M69" s="43">
        <v>473</v>
      </c>
      <c r="N69" s="43">
        <v>490</v>
      </c>
      <c r="O69" s="43" t="s">
        <v>52</v>
      </c>
      <c r="P69" s="43" t="s">
        <v>52</v>
      </c>
      <c r="Q69" s="24">
        <v>-18</v>
      </c>
    </row>
    <row r="70" s="1" customFormat="1" spans="1:17">
      <c r="A70" s="52" t="s">
        <v>69</v>
      </c>
      <c r="B70" s="39" t="s">
        <v>101</v>
      </c>
      <c r="C70" s="40" t="s">
        <v>48</v>
      </c>
      <c r="D70" s="41"/>
      <c r="E70" s="42"/>
      <c r="F70" s="43">
        <v>67</v>
      </c>
      <c r="G70" s="43">
        <v>61</v>
      </c>
      <c r="H70" s="43">
        <v>62</v>
      </c>
      <c r="I70" s="43">
        <v>77</v>
      </c>
      <c r="J70" s="43"/>
      <c r="K70" s="43">
        <v>501</v>
      </c>
      <c r="L70" s="43">
        <v>479</v>
      </c>
      <c r="M70" s="43">
        <v>485</v>
      </c>
      <c r="N70" s="43">
        <v>504</v>
      </c>
      <c r="O70" s="43">
        <v>461</v>
      </c>
      <c r="P70" s="43" t="s">
        <v>52</v>
      </c>
      <c r="Q70" s="24">
        <v>-22</v>
      </c>
    </row>
    <row r="71" s="1" customFormat="1" spans="1:17">
      <c r="A71" s="52" t="s">
        <v>69</v>
      </c>
      <c r="B71" s="27" t="s">
        <v>102</v>
      </c>
      <c r="C71" s="28" t="s">
        <v>25</v>
      </c>
      <c r="D71" s="29"/>
      <c r="E71" s="30"/>
      <c r="F71" s="31">
        <v>68</v>
      </c>
      <c r="G71" s="31">
        <v>79</v>
      </c>
      <c r="H71" s="31">
        <v>78</v>
      </c>
      <c r="I71" s="31">
        <v>65</v>
      </c>
      <c r="J71" s="31">
        <v>53</v>
      </c>
      <c r="K71" s="31">
        <v>495</v>
      </c>
      <c r="L71" s="31">
        <v>491</v>
      </c>
      <c r="M71" s="31">
        <v>463</v>
      </c>
      <c r="N71" s="31">
        <v>481</v>
      </c>
      <c r="O71" s="31">
        <v>453</v>
      </c>
      <c r="P71" s="31">
        <v>463</v>
      </c>
      <c r="Q71" s="24">
        <v>-4</v>
      </c>
    </row>
    <row r="72" s="1" customFormat="1" spans="1:17">
      <c r="A72" s="52" t="s">
        <v>69</v>
      </c>
      <c r="B72" s="27" t="s">
        <v>103</v>
      </c>
      <c r="C72" s="28" t="s">
        <v>43</v>
      </c>
      <c r="D72" s="29"/>
      <c r="E72" s="30"/>
      <c r="F72" s="31">
        <v>69</v>
      </c>
      <c r="G72" s="31">
        <v>68</v>
      </c>
      <c r="H72" s="31">
        <v>65</v>
      </c>
      <c r="I72" s="31"/>
      <c r="J72" s="31"/>
      <c r="K72" s="31">
        <v>495</v>
      </c>
      <c r="L72" s="31">
        <v>485</v>
      </c>
      <c r="M72" s="31">
        <v>476</v>
      </c>
      <c r="N72" s="31">
        <v>501</v>
      </c>
      <c r="O72" s="31">
        <v>472</v>
      </c>
      <c r="P72" s="31">
        <v>475</v>
      </c>
      <c r="Q72" s="24">
        <v>-10</v>
      </c>
    </row>
    <row r="73" s="1" customFormat="1" spans="1:17">
      <c r="A73" s="52" t="s">
        <v>69</v>
      </c>
      <c r="B73" s="27" t="s">
        <v>104</v>
      </c>
      <c r="C73" s="28" t="s">
        <v>48</v>
      </c>
      <c r="D73" s="29"/>
      <c r="E73" s="30"/>
      <c r="F73" s="31">
        <v>70</v>
      </c>
      <c r="G73" s="31">
        <v>72</v>
      </c>
      <c r="H73" s="31">
        <v>72</v>
      </c>
      <c r="I73" s="31"/>
      <c r="J73" s="31"/>
      <c r="K73" s="31">
        <v>495</v>
      </c>
      <c r="L73" s="31">
        <v>477</v>
      </c>
      <c r="M73" s="31">
        <v>468</v>
      </c>
      <c r="N73" s="31">
        <v>492</v>
      </c>
      <c r="O73" s="31">
        <v>399</v>
      </c>
      <c r="P73" s="31" t="s">
        <v>52</v>
      </c>
      <c r="Q73" s="24">
        <v>-18</v>
      </c>
    </row>
    <row r="74" s="1" customFormat="1" spans="1:17">
      <c r="A74" s="52" t="s">
        <v>69</v>
      </c>
      <c r="B74" s="27" t="s">
        <v>105</v>
      </c>
      <c r="C74" s="28" t="s">
        <v>54</v>
      </c>
      <c r="D74" s="29"/>
      <c r="E74" s="30"/>
      <c r="F74" s="31">
        <v>71</v>
      </c>
      <c r="G74" s="31">
        <v>71</v>
      </c>
      <c r="H74" s="31">
        <v>69</v>
      </c>
      <c r="I74" s="31"/>
      <c r="J74" s="31"/>
      <c r="K74" s="31">
        <v>492</v>
      </c>
      <c r="L74" s="31">
        <v>467</v>
      </c>
      <c r="M74" s="31">
        <v>468</v>
      </c>
      <c r="N74" s="31">
        <v>493</v>
      </c>
      <c r="O74" s="31">
        <v>469</v>
      </c>
      <c r="P74" s="31">
        <v>466</v>
      </c>
      <c r="Q74" s="24">
        <v>-25</v>
      </c>
    </row>
    <row r="75" s="1" customFormat="1" spans="1:17">
      <c r="A75" s="52" t="s">
        <v>69</v>
      </c>
      <c r="B75" s="27" t="s">
        <v>106</v>
      </c>
      <c r="C75" s="28" t="s">
        <v>27</v>
      </c>
      <c r="D75" s="29"/>
      <c r="E75" s="30"/>
      <c r="F75" s="31">
        <v>72</v>
      </c>
      <c r="G75" s="31">
        <v>65</v>
      </c>
      <c r="H75" s="31">
        <v>59</v>
      </c>
      <c r="I75" s="31">
        <v>55</v>
      </c>
      <c r="J75" s="31">
        <v>49</v>
      </c>
      <c r="K75" s="31">
        <v>492</v>
      </c>
      <c r="L75" s="31" t="s">
        <v>97</v>
      </c>
      <c r="M75" s="31">
        <v>482</v>
      </c>
      <c r="N75" s="31">
        <v>506</v>
      </c>
      <c r="O75" s="31">
        <v>485</v>
      </c>
      <c r="P75" s="31" t="s">
        <v>52</v>
      </c>
      <c r="Q75" s="24" t="s">
        <v>97</v>
      </c>
    </row>
    <row r="76" s="1" customFormat="1" spans="1:17">
      <c r="A76" s="52" t="s">
        <v>69</v>
      </c>
      <c r="B76" s="27" t="s">
        <v>107</v>
      </c>
      <c r="C76" s="28" t="s">
        <v>21</v>
      </c>
      <c r="D76" s="29"/>
      <c r="E76" s="30"/>
      <c r="F76" s="31">
        <v>73</v>
      </c>
      <c r="G76" s="31">
        <v>64</v>
      </c>
      <c r="H76" s="31">
        <v>71</v>
      </c>
      <c r="I76" s="31">
        <v>62</v>
      </c>
      <c r="J76" s="31"/>
      <c r="K76" s="31">
        <v>491</v>
      </c>
      <c r="L76" s="31" t="s">
        <v>97</v>
      </c>
      <c r="M76" s="31">
        <v>482</v>
      </c>
      <c r="N76" s="32">
        <v>492</v>
      </c>
      <c r="O76" s="31">
        <v>447</v>
      </c>
      <c r="P76" s="31" t="s">
        <v>52</v>
      </c>
      <c r="Q76" s="24" t="s">
        <v>97</v>
      </c>
    </row>
    <row r="77" s="1" customFormat="1" spans="1:17">
      <c r="A77" s="52" t="s">
        <v>69</v>
      </c>
      <c r="B77" s="27" t="s">
        <v>108</v>
      </c>
      <c r="C77" s="28" t="s">
        <v>48</v>
      </c>
      <c r="D77" s="29"/>
      <c r="E77" s="30"/>
      <c r="F77" s="31">
        <v>74</v>
      </c>
      <c r="G77" s="31">
        <v>75</v>
      </c>
      <c r="H77" s="31">
        <v>75</v>
      </c>
      <c r="I77" s="31">
        <v>63</v>
      </c>
      <c r="J77" s="31"/>
      <c r="K77" s="31">
        <v>489</v>
      </c>
      <c r="L77" s="31">
        <v>475</v>
      </c>
      <c r="M77" s="31">
        <v>465</v>
      </c>
      <c r="N77" s="31">
        <v>490</v>
      </c>
      <c r="O77" s="31" t="s">
        <v>52</v>
      </c>
      <c r="P77" s="31" t="s">
        <v>52</v>
      </c>
      <c r="Q77" s="24">
        <v>-14</v>
      </c>
    </row>
    <row r="78" s="1" customFormat="1" spans="1:17">
      <c r="A78" s="52" t="s">
        <v>69</v>
      </c>
      <c r="B78" s="66" t="s">
        <v>109</v>
      </c>
      <c r="C78" s="28" t="s">
        <v>43</v>
      </c>
      <c r="D78" s="29"/>
      <c r="E78" s="30"/>
      <c r="F78" s="31">
        <v>75</v>
      </c>
      <c r="G78" s="31">
        <v>74</v>
      </c>
      <c r="H78" s="31">
        <v>0</v>
      </c>
      <c r="I78" s="31"/>
      <c r="J78" s="31"/>
      <c r="K78" s="31">
        <v>489</v>
      </c>
      <c r="L78" s="31">
        <v>472</v>
      </c>
      <c r="M78" s="31">
        <v>466</v>
      </c>
      <c r="N78" s="67" t="s">
        <v>110</v>
      </c>
      <c r="O78" s="31" t="s">
        <v>52</v>
      </c>
      <c r="P78" s="31" t="s">
        <v>52</v>
      </c>
      <c r="Q78" s="24">
        <v>-17</v>
      </c>
    </row>
    <row r="79" s="1" customFormat="1" spans="1:17">
      <c r="A79" s="68" t="s">
        <v>111</v>
      </c>
      <c r="B79" s="69" t="s">
        <v>112</v>
      </c>
      <c r="C79" s="70" t="s">
        <v>54</v>
      </c>
      <c r="D79" s="71"/>
      <c r="E79" s="72"/>
      <c r="F79" s="73">
        <v>76</v>
      </c>
      <c r="G79" s="73">
        <v>77</v>
      </c>
      <c r="H79" s="73">
        <v>73</v>
      </c>
      <c r="I79" s="73"/>
      <c r="J79" s="73"/>
      <c r="K79" s="73">
        <v>485</v>
      </c>
      <c r="L79" s="73">
        <v>461</v>
      </c>
      <c r="M79" s="73">
        <v>464</v>
      </c>
      <c r="N79" s="73">
        <v>490</v>
      </c>
      <c r="O79" s="73">
        <v>458</v>
      </c>
      <c r="P79" s="73" t="s">
        <v>52</v>
      </c>
      <c r="Q79" s="24">
        <v>-24</v>
      </c>
    </row>
    <row r="80" s="1" customFormat="1" spans="1:17">
      <c r="A80" s="68" t="s">
        <v>111</v>
      </c>
      <c r="B80" s="74" t="s">
        <v>113</v>
      </c>
      <c r="C80" s="70" t="s">
        <v>32</v>
      </c>
      <c r="D80" s="71"/>
      <c r="E80" s="72"/>
      <c r="F80" s="73">
        <v>77</v>
      </c>
      <c r="G80" s="73">
        <v>89</v>
      </c>
      <c r="H80" s="75">
        <v>57</v>
      </c>
      <c r="I80" s="73">
        <v>46</v>
      </c>
      <c r="J80" s="73">
        <v>31</v>
      </c>
      <c r="K80" s="73">
        <v>482</v>
      </c>
      <c r="L80" s="73">
        <v>465</v>
      </c>
      <c r="M80" s="73">
        <v>447</v>
      </c>
      <c r="N80" s="73">
        <v>512</v>
      </c>
      <c r="O80" s="73">
        <v>497</v>
      </c>
      <c r="P80" s="73">
        <v>512</v>
      </c>
      <c r="Q80" s="24">
        <v>-17</v>
      </c>
    </row>
    <row r="81" s="1" customFormat="1" spans="1:17">
      <c r="A81" s="68" t="s">
        <v>111</v>
      </c>
      <c r="B81" s="69" t="s">
        <v>114</v>
      </c>
      <c r="C81" s="70" t="s">
        <v>48</v>
      </c>
      <c r="D81" s="71"/>
      <c r="E81" s="72"/>
      <c r="F81" s="73">
        <v>78</v>
      </c>
      <c r="G81" s="73">
        <v>80</v>
      </c>
      <c r="H81" s="73">
        <v>77</v>
      </c>
      <c r="I81" s="73">
        <v>66</v>
      </c>
      <c r="J81" s="73">
        <v>54</v>
      </c>
      <c r="K81" s="73">
        <v>480</v>
      </c>
      <c r="L81" s="73">
        <v>473</v>
      </c>
      <c r="M81" s="73">
        <v>459</v>
      </c>
      <c r="N81" s="73">
        <v>482</v>
      </c>
      <c r="O81" s="73">
        <v>457</v>
      </c>
      <c r="P81" s="73">
        <v>460</v>
      </c>
      <c r="Q81" s="24">
        <v>-7</v>
      </c>
    </row>
    <row r="82" s="1" customFormat="1" spans="1:17">
      <c r="A82" s="68" t="s">
        <v>111</v>
      </c>
      <c r="B82" s="69" t="s">
        <v>115</v>
      </c>
      <c r="C82" s="70" t="s">
        <v>36</v>
      </c>
      <c r="D82" s="71"/>
      <c r="E82" s="72"/>
      <c r="F82" s="73">
        <v>79</v>
      </c>
      <c r="G82" s="73">
        <v>81</v>
      </c>
      <c r="H82" s="73">
        <v>80</v>
      </c>
      <c r="I82" s="73">
        <v>68</v>
      </c>
      <c r="J82" s="73"/>
      <c r="K82" s="73">
        <v>480</v>
      </c>
      <c r="L82" s="73">
        <v>474</v>
      </c>
      <c r="M82" s="73">
        <v>458</v>
      </c>
      <c r="N82" s="73">
        <v>480</v>
      </c>
      <c r="O82" s="73">
        <v>451</v>
      </c>
      <c r="P82" s="73">
        <v>457</v>
      </c>
      <c r="Q82" s="24">
        <v>-6</v>
      </c>
    </row>
    <row r="83" s="1" customFormat="1" spans="1:17">
      <c r="A83" s="68" t="s">
        <v>111</v>
      </c>
      <c r="B83" s="54" t="s">
        <v>116</v>
      </c>
      <c r="C83" s="55" t="s">
        <v>43</v>
      </c>
      <c r="D83" s="56"/>
      <c r="E83" s="57"/>
      <c r="F83" s="58">
        <v>80</v>
      </c>
      <c r="G83" s="58">
        <v>87</v>
      </c>
      <c r="H83" s="58">
        <v>87</v>
      </c>
      <c r="I83" s="76"/>
      <c r="J83" s="76"/>
      <c r="K83" s="58">
        <v>475</v>
      </c>
      <c r="L83" s="58">
        <v>462</v>
      </c>
      <c r="M83" s="58">
        <v>449</v>
      </c>
      <c r="N83" s="58">
        <v>468</v>
      </c>
      <c r="O83" s="58">
        <v>447</v>
      </c>
      <c r="P83" s="58">
        <v>453</v>
      </c>
      <c r="Q83" s="24">
        <v>-13</v>
      </c>
    </row>
    <row r="84" s="1" customFormat="1" spans="1:17">
      <c r="A84" s="68" t="s">
        <v>111</v>
      </c>
      <c r="B84" s="77" t="s">
        <v>117</v>
      </c>
      <c r="C84" s="55" t="s">
        <v>45</v>
      </c>
      <c r="D84" s="56"/>
      <c r="E84" s="57"/>
      <c r="F84" s="58">
        <v>81</v>
      </c>
      <c r="G84" s="58">
        <v>78</v>
      </c>
      <c r="H84" s="56">
        <v>76</v>
      </c>
      <c r="I84" s="58">
        <v>64</v>
      </c>
      <c r="J84" s="58"/>
      <c r="K84" s="58">
        <v>474</v>
      </c>
      <c r="L84" s="58">
        <v>457</v>
      </c>
      <c r="M84" s="58">
        <v>464</v>
      </c>
      <c r="N84" s="58">
        <v>486</v>
      </c>
      <c r="O84" s="58" t="s">
        <v>52</v>
      </c>
      <c r="P84" s="58" t="s">
        <v>52</v>
      </c>
      <c r="Q84" s="24">
        <v>-17</v>
      </c>
    </row>
    <row r="85" s="1" customFormat="1" spans="1:17">
      <c r="A85" s="68" t="s">
        <v>111</v>
      </c>
      <c r="B85" s="54" t="s">
        <v>118</v>
      </c>
      <c r="C85" s="55" t="s">
        <v>36</v>
      </c>
      <c r="D85" s="56"/>
      <c r="E85" s="57"/>
      <c r="F85" s="58">
        <v>82</v>
      </c>
      <c r="G85" s="58">
        <v>83</v>
      </c>
      <c r="H85" s="58">
        <v>81</v>
      </c>
      <c r="I85" s="58">
        <v>74</v>
      </c>
      <c r="J85" s="58"/>
      <c r="K85" s="58">
        <v>474</v>
      </c>
      <c r="L85" s="58">
        <v>470</v>
      </c>
      <c r="M85" s="58">
        <v>454</v>
      </c>
      <c r="N85" s="78">
        <v>476</v>
      </c>
      <c r="O85" s="58">
        <v>452</v>
      </c>
      <c r="P85" s="58">
        <v>458</v>
      </c>
      <c r="Q85" s="24">
        <v>-4</v>
      </c>
    </row>
    <row r="86" s="1" customFormat="1" spans="1:17">
      <c r="A86" s="68" t="s">
        <v>111</v>
      </c>
      <c r="B86" s="54" t="s">
        <v>119</v>
      </c>
      <c r="C86" s="55" t="s">
        <v>36</v>
      </c>
      <c r="D86" s="56"/>
      <c r="E86" s="57"/>
      <c r="F86" s="58">
        <v>83</v>
      </c>
      <c r="G86" s="58">
        <v>84</v>
      </c>
      <c r="H86" s="58">
        <v>82</v>
      </c>
      <c r="I86" s="58">
        <v>75</v>
      </c>
      <c r="J86" s="58"/>
      <c r="K86" s="58">
        <v>471</v>
      </c>
      <c r="L86" s="58">
        <v>464</v>
      </c>
      <c r="M86" s="58">
        <v>451</v>
      </c>
      <c r="N86" s="58">
        <v>475</v>
      </c>
      <c r="O86" s="58">
        <v>449</v>
      </c>
      <c r="P86" s="58">
        <v>454</v>
      </c>
      <c r="Q86" s="24">
        <v>-7</v>
      </c>
    </row>
    <row r="87" s="1" customFormat="1" spans="1:17">
      <c r="A87" s="68" t="s">
        <v>111</v>
      </c>
      <c r="B87" s="79" t="s">
        <v>120</v>
      </c>
      <c r="C87" s="80" t="s">
        <v>121</v>
      </c>
      <c r="D87" s="56"/>
      <c r="E87" s="57"/>
      <c r="F87" s="58">
        <v>84</v>
      </c>
      <c r="G87" s="58">
        <v>76</v>
      </c>
      <c r="H87" s="76">
        <v>0</v>
      </c>
      <c r="I87" s="58"/>
      <c r="J87" s="58"/>
      <c r="K87" s="58">
        <v>470</v>
      </c>
      <c r="L87" s="58" t="s">
        <v>97</v>
      </c>
      <c r="M87" s="58">
        <v>464</v>
      </c>
      <c r="N87" s="76" t="s">
        <v>110</v>
      </c>
      <c r="O87" s="58" t="s">
        <v>52</v>
      </c>
      <c r="P87" s="58" t="s">
        <v>52</v>
      </c>
      <c r="Q87" s="24" t="s">
        <v>97</v>
      </c>
    </row>
    <row r="88" s="1" customFormat="1" spans="1:17">
      <c r="A88" s="68" t="s">
        <v>111</v>
      </c>
      <c r="B88" s="46" t="s">
        <v>122</v>
      </c>
      <c r="C88" s="47" t="s">
        <v>32</v>
      </c>
      <c r="D88" s="48"/>
      <c r="E88" s="49"/>
      <c r="F88" s="50">
        <v>85</v>
      </c>
      <c r="G88" s="50">
        <v>85</v>
      </c>
      <c r="H88" s="50">
        <v>83</v>
      </c>
      <c r="I88" s="50">
        <v>72</v>
      </c>
      <c r="J88" s="50"/>
      <c r="K88" s="50">
        <v>469</v>
      </c>
      <c r="L88" s="50">
        <v>465</v>
      </c>
      <c r="M88" s="50">
        <v>450</v>
      </c>
      <c r="N88" s="50">
        <v>474</v>
      </c>
      <c r="O88" s="50">
        <v>449</v>
      </c>
      <c r="P88" s="50">
        <v>456</v>
      </c>
      <c r="Q88" s="24">
        <v>-4</v>
      </c>
    </row>
    <row r="89" s="1" customFormat="1" spans="1:17">
      <c r="A89" s="68" t="s">
        <v>111</v>
      </c>
      <c r="B89" s="46" t="s">
        <v>123</v>
      </c>
      <c r="C89" s="47" t="s">
        <v>121</v>
      </c>
      <c r="D89" s="48"/>
      <c r="E89" s="49"/>
      <c r="F89" s="50">
        <v>86</v>
      </c>
      <c r="G89" s="50">
        <v>63</v>
      </c>
      <c r="H89" s="50">
        <v>49</v>
      </c>
      <c r="I89" s="50"/>
      <c r="J89" s="50"/>
      <c r="K89" s="50">
        <v>468</v>
      </c>
      <c r="L89" s="50" t="s">
        <v>97</v>
      </c>
      <c r="M89" s="50">
        <v>483</v>
      </c>
      <c r="N89" s="50">
        <v>528</v>
      </c>
      <c r="O89" s="50" t="s">
        <v>52</v>
      </c>
      <c r="P89" s="50" t="s">
        <v>52</v>
      </c>
      <c r="Q89" s="24" t="s">
        <v>97</v>
      </c>
    </row>
    <row r="90" s="1" customFormat="1" spans="1:17">
      <c r="A90" s="68" t="s">
        <v>111</v>
      </c>
      <c r="B90" s="81" t="s">
        <v>124</v>
      </c>
      <c r="C90" s="82" t="s">
        <v>121</v>
      </c>
      <c r="D90" s="48"/>
      <c r="E90" s="49"/>
      <c r="F90" s="50">
        <v>87</v>
      </c>
      <c r="G90" s="50">
        <v>73</v>
      </c>
      <c r="H90" s="50">
        <v>0</v>
      </c>
      <c r="I90" s="50"/>
      <c r="J90" s="50"/>
      <c r="K90" s="50">
        <v>468</v>
      </c>
      <c r="L90" s="50" t="s">
        <v>97</v>
      </c>
      <c r="M90" s="50">
        <v>467</v>
      </c>
      <c r="N90" s="83" t="s">
        <v>110</v>
      </c>
      <c r="O90" s="50" t="s">
        <v>52</v>
      </c>
      <c r="P90" s="50" t="s">
        <v>52</v>
      </c>
      <c r="Q90" s="24" t="s">
        <v>97</v>
      </c>
    </row>
    <row r="91" s="1" customFormat="1" spans="1:17">
      <c r="A91" s="68" t="s">
        <v>111</v>
      </c>
      <c r="B91" s="46" t="s">
        <v>125</v>
      </c>
      <c r="C91" s="47" t="s">
        <v>121</v>
      </c>
      <c r="D91" s="48"/>
      <c r="E91" s="49"/>
      <c r="F91" s="50">
        <v>88</v>
      </c>
      <c r="G91" s="50">
        <v>88</v>
      </c>
      <c r="H91" s="50">
        <v>88</v>
      </c>
      <c r="I91" s="48"/>
      <c r="J91" s="48"/>
      <c r="K91" s="50">
        <v>466</v>
      </c>
      <c r="L91" s="50" t="s">
        <v>97</v>
      </c>
      <c r="M91" s="50">
        <v>448</v>
      </c>
      <c r="N91" s="50">
        <v>463</v>
      </c>
      <c r="O91" s="50">
        <v>450</v>
      </c>
      <c r="P91" s="50" t="s">
        <v>52</v>
      </c>
      <c r="Q91" s="24" t="s">
        <v>97</v>
      </c>
    </row>
    <row r="92" s="1" customFormat="1" spans="1:17">
      <c r="A92" s="68" t="s">
        <v>111</v>
      </c>
      <c r="B92" s="27" t="s">
        <v>126</v>
      </c>
      <c r="C92" s="28" t="s">
        <v>43</v>
      </c>
      <c r="D92" s="29"/>
      <c r="E92" s="30"/>
      <c r="F92" s="31">
        <v>89</v>
      </c>
      <c r="G92" s="31">
        <v>86</v>
      </c>
      <c r="H92" s="31">
        <v>86</v>
      </c>
      <c r="I92" s="31">
        <v>73</v>
      </c>
      <c r="J92" s="31"/>
      <c r="K92" s="31">
        <v>464</v>
      </c>
      <c r="L92" s="31">
        <v>460</v>
      </c>
      <c r="M92" s="31">
        <v>450</v>
      </c>
      <c r="N92" s="32">
        <v>471</v>
      </c>
      <c r="O92" s="31">
        <v>446</v>
      </c>
      <c r="P92" s="31">
        <v>453</v>
      </c>
      <c r="Q92" s="24">
        <v>-4</v>
      </c>
    </row>
    <row r="93" s="1" customFormat="1" spans="1:17">
      <c r="A93" s="68" t="s">
        <v>111</v>
      </c>
      <c r="B93" s="27" t="s">
        <v>127</v>
      </c>
      <c r="C93" s="28" t="s">
        <v>36</v>
      </c>
      <c r="D93" s="29"/>
      <c r="E93" s="30"/>
      <c r="F93" s="31">
        <v>90</v>
      </c>
      <c r="G93" s="31">
        <v>90</v>
      </c>
      <c r="H93" s="31">
        <v>89</v>
      </c>
      <c r="I93" s="29"/>
      <c r="J93" s="29"/>
      <c r="K93" s="31">
        <v>462</v>
      </c>
      <c r="L93" s="31" t="s">
        <v>97</v>
      </c>
      <c r="M93" s="31">
        <v>445</v>
      </c>
      <c r="N93" s="31">
        <v>456</v>
      </c>
      <c r="O93" s="31">
        <v>442</v>
      </c>
      <c r="P93" s="31">
        <v>443</v>
      </c>
      <c r="Q93" s="24" t="s">
        <v>97</v>
      </c>
    </row>
    <row r="94" s="1" customFormat="1" spans="1:17">
      <c r="A94" s="68" t="s">
        <v>111</v>
      </c>
      <c r="B94" s="27" t="s">
        <v>128</v>
      </c>
      <c r="C94" s="28" t="s">
        <v>21</v>
      </c>
      <c r="D94" s="29"/>
      <c r="E94" s="30"/>
      <c r="F94" s="31">
        <v>91</v>
      </c>
      <c r="G94" s="31">
        <v>91</v>
      </c>
      <c r="H94" s="31">
        <v>85</v>
      </c>
      <c r="I94" s="31">
        <v>67</v>
      </c>
      <c r="J94" s="31"/>
      <c r="K94" s="31">
        <v>459</v>
      </c>
      <c r="L94" s="31">
        <v>444</v>
      </c>
      <c r="M94" s="31">
        <v>442</v>
      </c>
      <c r="N94" s="32">
        <v>472</v>
      </c>
      <c r="O94" s="31">
        <v>423</v>
      </c>
      <c r="P94" s="31">
        <v>500</v>
      </c>
      <c r="Q94" s="24">
        <v>-15</v>
      </c>
    </row>
    <row r="95" s="1" customFormat="1" ht="44" customHeight="1" spans="1:17">
      <c r="A95" s="68"/>
      <c r="B95" s="27"/>
      <c r="C95" s="28"/>
      <c r="D95" s="29"/>
      <c r="E95" s="30"/>
      <c r="F95" s="84"/>
      <c r="G95" s="31"/>
      <c r="H95" s="85"/>
      <c r="I95" s="85"/>
      <c r="J95" s="85"/>
      <c r="K95" s="85"/>
      <c r="L95" s="85"/>
      <c r="M95" s="85"/>
      <c r="N95" s="86"/>
      <c r="O95" s="85"/>
      <c r="P95" s="85"/>
      <c r="Q95" s="87"/>
    </row>
    <row r="96" s="1" customFormat="1" spans="1:17">
      <c r="A96" s="3"/>
      <c r="B96" s="88" t="s">
        <v>129</v>
      </c>
      <c r="C96" s="89" t="s">
        <v>27</v>
      </c>
      <c r="D96" s="4"/>
      <c r="E96" s="90"/>
      <c r="F96" s="90"/>
      <c r="G96" s="4"/>
      <c r="H96" s="91"/>
      <c r="I96" s="92"/>
      <c r="J96" s="92"/>
      <c r="K96" s="92"/>
      <c r="L96" s="92"/>
      <c r="M96" s="91">
        <v>432</v>
      </c>
      <c r="N96" s="91">
        <v>434</v>
      </c>
      <c r="O96" s="92">
        <v>345</v>
      </c>
      <c r="P96" s="92">
        <v>371</v>
      </c>
      <c r="Q96" s="92"/>
    </row>
    <row r="97" s="1" customFormat="1" spans="1:17">
      <c r="A97" s="3"/>
      <c r="B97" s="88" t="s">
        <v>130</v>
      </c>
      <c r="C97" s="89" t="s">
        <v>32</v>
      </c>
      <c r="D97" s="4"/>
      <c r="E97" s="90"/>
      <c r="F97" s="90"/>
      <c r="G97" s="4"/>
      <c r="H97" s="93"/>
      <c r="I97" s="94"/>
      <c r="J97" s="94"/>
      <c r="K97" s="94"/>
      <c r="L97" s="94"/>
      <c r="M97" s="95">
        <v>447</v>
      </c>
      <c r="N97" s="93">
        <v>452</v>
      </c>
      <c r="O97" s="95">
        <v>463</v>
      </c>
      <c r="P97" s="95">
        <v>485</v>
      </c>
      <c r="Q97" s="95"/>
    </row>
    <row r="98" s="1" customFormat="1" spans="1:17">
      <c r="A98" s="3"/>
      <c r="B98" s="88" t="s">
        <v>131</v>
      </c>
      <c r="C98" s="89" t="s">
        <v>36</v>
      </c>
      <c r="D98" s="4"/>
      <c r="E98" s="90"/>
      <c r="F98" s="90"/>
      <c r="G98" s="4"/>
      <c r="H98" s="96"/>
      <c r="I98" s="96"/>
      <c r="J98" s="96"/>
      <c r="K98" s="96"/>
      <c r="L98" s="96"/>
      <c r="M98" s="95">
        <v>436</v>
      </c>
      <c r="N98" s="94">
        <v>434</v>
      </c>
      <c r="O98" s="94">
        <v>455</v>
      </c>
      <c r="P98" s="94">
        <v>457</v>
      </c>
      <c r="Q98" s="4"/>
    </row>
    <row r="99" s="1" customFormat="1" spans="1:17">
      <c r="A99" s="3"/>
      <c r="B99" s="88" t="s">
        <v>132</v>
      </c>
      <c r="C99" s="89" t="s">
        <v>32</v>
      </c>
      <c r="D99" s="4"/>
      <c r="E99" s="90"/>
      <c r="F99" s="90"/>
      <c r="G99" s="4"/>
      <c r="H99" s="96"/>
      <c r="I99" s="96"/>
      <c r="J99" s="96"/>
      <c r="K99" s="96"/>
      <c r="L99" s="96"/>
      <c r="M99" s="95">
        <v>432</v>
      </c>
      <c r="N99" s="97">
        <v>392</v>
      </c>
      <c r="O99" s="94">
        <v>349</v>
      </c>
      <c r="P99" s="94">
        <v>382</v>
      </c>
      <c r="Q99" s="4"/>
    </row>
    <row r="100" s="1" customFormat="1" spans="1:17">
      <c r="A100" s="3"/>
      <c r="B100" s="88" t="s">
        <v>133</v>
      </c>
      <c r="C100" s="89" t="s">
        <v>27</v>
      </c>
      <c r="D100" s="4"/>
      <c r="E100" s="90"/>
      <c r="F100" s="90"/>
      <c r="G100" s="4"/>
      <c r="H100" s="96"/>
      <c r="I100" s="96"/>
      <c r="J100" s="96"/>
      <c r="K100" s="96"/>
      <c r="L100" s="96"/>
      <c r="M100" s="95">
        <v>423</v>
      </c>
      <c r="N100" s="97">
        <v>426</v>
      </c>
      <c r="O100" s="94">
        <v>406</v>
      </c>
      <c r="P100" s="94">
        <v>457</v>
      </c>
      <c r="Q100" s="4"/>
    </row>
    <row r="101" s="1" customFormat="1" spans="1:17">
      <c r="A101" s="3"/>
      <c r="B101" s="88" t="s">
        <v>134</v>
      </c>
      <c r="C101" s="89" t="s">
        <v>25</v>
      </c>
      <c r="D101" s="4"/>
      <c r="E101" s="90"/>
      <c r="F101" s="90"/>
      <c r="G101" s="4"/>
      <c r="H101" s="96"/>
      <c r="I101" s="96"/>
      <c r="J101" s="96"/>
      <c r="K101" s="96"/>
      <c r="L101" s="96"/>
      <c r="M101" s="95">
        <v>418</v>
      </c>
      <c r="N101" s="94">
        <v>470</v>
      </c>
      <c r="O101" s="94">
        <v>419</v>
      </c>
      <c r="P101" s="94">
        <v>439</v>
      </c>
      <c r="Q101" s="4"/>
    </row>
    <row r="102" s="1" customFormat="1" spans="1:17">
      <c r="A102" s="3"/>
      <c r="B102" s="88" t="s">
        <v>135</v>
      </c>
      <c r="C102" s="89" t="s">
        <v>32</v>
      </c>
      <c r="D102" s="4"/>
      <c r="E102" s="90"/>
      <c r="F102" s="90"/>
      <c r="G102" s="4"/>
      <c r="H102" s="96"/>
      <c r="I102" s="96"/>
      <c r="J102" s="96"/>
      <c r="K102" s="96"/>
      <c r="L102" s="96"/>
      <c r="M102" s="95">
        <v>413</v>
      </c>
      <c r="N102" s="94">
        <v>406</v>
      </c>
      <c r="O102" s="94">
        <v>469</v>
      </c>
      <c r="P102" s="94">
        <v>483</v>
      </c>
      <c r="Q102" s="4"/>
    </row>
    <row r="103" s="1" customFormat="1" spans="1:17">
      <c r="A103" s="3"/>
      <c r="B103" s="88" t="s">
        <v>136</v>
      </c>
      <c r="C103" s="89" t="s">
        <v>32</v>
      </c>
      <c r="D103" s="4"/>
      <c r="E103" s="90"/>
      <c r="F103" s="90"/>
      <c r="G103" s="4"/>
      <c r="H103" s="96"/>
      <c r="I103" s="96"/>
      <c r="J103" s="96"/>
      <c r="K103" s="96"/>
      <c r="L103" s="96"/>
      <c r="M103" s="95">
        <v>408</v>
      </c>
      <c r="N103" s="94">
        <v>393</v>
      </c>
      <c r="O103" s="94">
        <v>442</v>
      </c>
      <c r="P103" s="94">
        <v>441</v>
      </c>
      <c r="Q103" s="4"/>
    </row>
    <row r="104" s="1" customFormat="1" spans="1:17">
      <c r="A104" s="3"/>
      <c r="B104" s="88" t="s">
        <v>137</v>
      </c>
      <c r="C104" s="89" t="s">
        <v>36</v>
      </c>
      <c r="D104" s="4"/>
      <c r="E104" s="90"/>
      <c r="F104" s="90"/>
      <c r="G104" s="4"/>
      <c r="H104" s="96"/>
      <c r="I104" s="96"/>
      <c r="J104" s="96"/>
      <c r="K104" s="96"/>
      <c r="L104" s="96"/>
      <c r="M104" s="95">
        <v>400</v>
      </c>
      <c r="N104" s="94">
        <v>378</v>
      </c>
      <c r="O104" s="94">
        <v>416</v>
      </c>
      <c r="P104" s="94">
        <v>417</v>
      </c>
      <c r="Q104" s="4"/>
    </row>
    <row r="105" s="1" customFormat="1" spans="1:17">
      <c r="A105" s="3"/>
      <c r="B105" s="88" t="s">
        <v>138</v>
      </c>
      <c r="C105" s="89" t="s">
        <v>23</v>
      </c>
      <c r="D105" s="4"/>
      <c r="E105" s="90"/>
      <c r="F105" s="90"/>
      <c r="G105" s="4"/>
      <c r="H105" s="96"/>
      <c r="I105" s="96"/>
      <c r="J105" s="96"/>
      <c r="K105" s="96"/>
      <c r="L105" s="96"/>
      <c r="M105" s="95">
        <v>394</v>
      </c>
      <c r="N105" s="94">
        <v>390</v>
      </c>
      <c r="O105" s="94">
        <v>393</v>
      </c>
      <c r="P105" s="94">
        <v>394</v>
      </c>
      <c r="Q105" s="4"/>
    </row>
    <row r="106" s="1" customFormat="1" spans="1:17">
      <c r="A106" s="3"/>
      <c r="B106" s="88" t="s">
        <v>139</v>
      </c>
      <c r="C106" s="89" t="s">
        <v>36</v>
      </c>
      <c r="D106" s="4"/>
      <c r="E106" s="90"/>
      <c r="F106" s="90"/>
      <c r="G106" s="4"/>
      <c r="H106" s="96"/>
      <c r="I106" s="96"/>
      <c r="J106" s="96"/>
      <c r="K106" s="96"/>
      <c r="L106" s="96"/>
      <c r="M106" s="95">
        <v>343</v>
      </c>
      <c r="N106" s="94">
        <v>354</v>
      </c>
      <c r="O106" s="94">
        <v>280</v>
      </c>
      <c r="P106" s="94">
        <v>345</v>
      </c>
      <c r="Q106" s="4"/>
    </row>
    <row r="107" s="1" customFormat="1" spans="1:17">
      <c r="A107" s="3"/>
      <c r="B107" s="88" t="s">
        <v>140</v>
      </c>
      <c r="C107" s="89" t="s">
        <v>54</v>
      </c>
      <c r="D107" s="4"/>
      <c r="E107" s="90"/>
      <c r="F107" s="90"/>
      <c r="G107" s="4"/>
      <c r="H107" s="96"/>
      <c r="I107" s="96"/>
      <c r="J107" s="96"/>
      <c r="K107" s="96"/>
      <c r="L107" s="96"/>
      <c r="M107" s="95">
        <v>325</v>
      </c>
      <c r="N107" s="94">
        <v>340</v>
      </c>
      <c r="O107" s="94">
        <v>345</v>
      </c>
      <c r="P107" s="94">
        <v>377</v>
      </c>
      <c r="Q107" s="4"/>
    </row>
    <row r="108" s="1" customFormat="1" spans="1:17">
      <c r="A108" s="3"/>
      <c r="B108" s="88" t="s">
        <v>141</v>
      </c>
      <c r="C108" s="89" t="s">
        <v>32</v>
      </c>
      <c r="D108" s="4"/>
      <c r="E108" s="90"/>
      <c r="F108" s="90"/>
      <c r="G108" s="4"/>
      <c r="H108" s="96"/>
      <c r="I108" s="96"/>
      <c r="J108" s="96"/>
      <c r="K108" s="96"/>
      <c r="L108" s="96"/>
      <c r="M108" s="95">
        <v>325</v>
      </c>
      <c r="N108" s="94">
        <v>340</v>
      </c>
      <c r="O108" s="94">
        <v>280</v>
      </c>
      <c r="P108" s="94">
        <v>345</v>
      </c>
      <c r="Q108" s="4"/>
    </row>
    <row r="109" s="1" customFormat="1" spans="1:17">
      <c r="A109" s="3"/>
      <c r="B109" s="88" t="s">
        <v>142</v>
      </c>
      <c r="C109" s="89" t="s">
        <v>43</v>
      </c>
      <c r="D109" s="4"/>
      <c r="E109" s="90"/>
      <c r="F109" s="90"/>
      <c r="G109" s="4"/>
      <c r="H109" s="96"/>
      <c r="I109" s="96"/>
      <c r="J109" s="96"/>
      <c r="K109" s="96"/>
      <c r="L109" s="96"/>
      <c r="M109" s="95">
        <v>325</v>
      </c>
      <c r="N109" s="94">
        <v>340</v>
      </c>
      <c r="O109" s="94">
        <v>280</v>
      </c>
      <c r="P109" s="94">
        <v>320</v>
      </c>
      <c r="Q109" s="4"/>
    </row>
    <row r="110" s="1" customFormat="1" spans="1:17">
      <c r="A110" s="3"/>
      <c r="B110" s="88" t="s">
        <v>143</v>
      </c>
      <c r="C110" s="89" t="s">
        <v>32</v>
      </c>
      <c r="D110" s="4"/>
      <c r="E110" s="90"/>
      <c r="F110" s="90"/>
      <c r="G110" s="4"/>
      <c r="H110" s="96"/>
      <c r="I110" s="96"/>
      <c r="J110" s="96"/>
      <c r="K110" s="96"/>
      <c r="L110" s="96"/>
      <c r="M110" s="95">
        <v>325</v>
      </c>
      <c r="N110" s="94">
        <v>340</v>
      </c>
      <c r="O110" s="94">
        <v>270</v>
      </c>
      <c r="P110" s="94">
        <v>345</v>
      </c>
      <c r="Q110" s="4"/>
    </row>
    <row r="111" s="1" customFormat="1" spans="1:17">
      <c r="A111" s="3"/>
      <c r="B111" s="88" t="s">
        <v>144</v>
      </c>
      <c r="C111" s="89" t="s">
        <v>25</v>
      </c>
      <c r="D111" s="4"/>
      <c r="E111" s="90"/>
      <c r="F111" s="90"/>
      <c r="G111" s="4"/>
      <c r="H111" s="96"/>
      <c r="I111" s="96"/>
      <c r="J111" s="96"/>
      <c r="K111" s="96"/>
      <c r="L111" s="96"/>
      <c r="M111" s="95">
        <v>325</v>
      </c>
      <c r="N111" s="94">
        <v>340</v>
      </c>
      <c r="O111" s="94">
        <v>251</v>
      </c>
      <c r="P111" s="94">
        <v>366</v>
      </c>
      <c r="Q111" s="4"/>
    </row>
    <row r="112" s="1" customFormat="1" spans="1:17">
      <c r="A112" s="3"/>
      <c r="B112" s="88" t="s">
        <v>145</v>
      </c>
      <c r="C112" s="89" t="s">
        <v>32</v>
      </c>
      <c r="D112" s="4"/>
      <c r="E112" s="90"/>
      <c r="F112" s="90"/>
      <c r="G112" s="4"/>
      <c r="H112" s="96"/>
      <c r="I112" s="96"/>
      <c r="J112" s="96"/>
      <c r="K112" s="96"/>
      <c r="L112" s="96"/>
      <c r="M112" s="95">
        <v>325</v>
      </c>
      <c r="N112" s="94">
        <v>351</v>
      </c>
      <c r="O112" s="94">
        <v>366</v>
      </c>
      <c r="P112" s="94">
        <v>406</v>
      </c>
      <c r="Q112" s="4"/>
    </row>
    <row r="113" s="1" customFormat="1" spans="1:17">
      <c r="A113" s="3"/>
      <c r="B113" s="88" t="s">
        <v>146</v>
      </c>
      <c r="C113" s="98" t="s">
        <v>32</v>
      </c>
      <c r="D113" s="4"/>
      <c r="E113" s="90"/>
      <c r="F113" s="90"/>
      <c r="G113" s="4"/>
      <c r="H113" s="96"/>
      <c r="I113" s="96"/>
      <c r="J113" s="96"/>
      <c r="K113" s="96"/>
      <c r="L113" s="96"/>
      <c r="M113" s="95">
        <v>325</v>
      </c>
      <c r="N113" s="94">
        <v>347</v>
      </c>
      <c r="O113" s="94">
        <v>422</v>
      </c>
      <c r="P113" s="94">
        <v>460</v>
      </c>
      <c r="Q113" s="4"/>
    </row>
    <row r="114" s="1" customFormat="1" spans="1:17">
      <c r="A114" s="3"/>
      <c r="B114" s="88" t="s">
        <v>147</v>
      </c>
      <c r="C114" s="98" t="s">
        <v>32</v>
      </c>
      <c r="D114" s="4"/>
      <c r="E114" s="90"/>
      <c r="F114" s="90"/>
      <c r="G114" s="4"/>
      <c r="H114" s="96"/>
      <c r="I114" s="96"/>
      <c r="J114" s="96"/>
      <c r="K114" s="96"/>
      <c r="L114" s="96"/>
      <c r="M114" s="95">
        <v>325</v>
      </c>
      <c r="N114" s="94">
        <v>340</v>
      </c>
      <c r="O114" s="94">
        <v>422</v>
      </c>
      <c r="P114" s="94">
        <v>414</v>
      </c>
      <c r="Q114" s="4"/>
    </row>
    <row r="115" s="1" customFormat="1" spans="1:17">
      <c r="A115" s="3"/>
      <c r="B115" s="88" t="s">
        <v>148</v>
      </c>
      <c r="C115" s="98" t="s">
        <v>43</v>
      </c>
      <c r="D115" s="4"/>
      <c r="E115" s="90"/>
      <c r="F115" s="90"/>
      <c r="G115" s="4"/>
      <c r="H115" s="96"/>
      <c r="I115" s="96"/>
      <c r="J115" s="96"/>
      <c r="K115" s="96"/>
      <c r="L115" s="96"/>
      <c r="M115" s="95">
        <v>325</v>
      </c>
      <c r="N115" s="94">
        <v>340</v>
      </c>
      <c r="O115" s="94">
        <v>409</v>
      </c>
      <c r="P115" s="94">
        <v>428</v>
      </c>
      <c r="Q115" s="4"/>
    </row>
    <row r="116" s="1" customFormat="1" spans="1:17">
      <c r="A116" s="3"/>
      <c r="B116" s="88" t="s">
        <v>149</v>
      </c>
      <c r="C116" s="98" t="s">
        <v>36</v>
      </c>
      <c r="D116" s="4"/>
      <c r="E116" s="90"/>
      <c r="F116" s="90"/>
      <c r="G116" s="4"/>
      <c r="H116" s="96"/>
      <c r="I116" s="96"/>
      <c r="J116" s="96"/>
      <c r="K116" s="96"/>
      <c r="L116" s="96"/>
      <c r="M116" s="95">
        <v>325</v>
      </c>
      <c r="N116" s="94">
        <v>340</v>
      </c>
      <c r="O116" s="94">
        <v>397</v>
      </c>
      <c r="P116" s="94">
        <v>423</v>
      </c>
      <c r="Q116" s="4"/>
    </row>
    <row r="117" s="1" customFormat="1" spans="1:17">
      <c r="A117" s="3"/>
      <c r="B117" s="88" t="s">
        <v>150</v>
      </c>
      <c r="C117" s="98" t="s">
        <v>43</v>
      </c>
      <c r="D117" s="4"/>
      <c r="E117" s="90"/>
      <c r="F117" s="90"/>
      <c r="G117" s="4"/>
      <c r="H117" s="96"/>
      <c r="I117" s="96"/>
      <c r="J117" s="96"/>
      <c r="K117" s="96"/>
      <c r="L117" s="96"/>
      <c r="M117" s="95">
        <v>325</v>
      </c>
      <c r="N117" s="94">
        <v>340</v>
      </c>
      <c r="O117" s="94">
        <v>393</v>
      </c>
      <c r="P117" s="94">
        <v>431</v>
      </c>
      <c r="Q117" s="4"/>
    </row>
    <row r="118" s="1" customFormat="1" spans="1:17">
      <c r="A118" s="3"/>
      <c r="B118" s="88" t="s">
        <v>151</v>
      </c>
      <c r="C118" s="98" t="s">
        <v>32</v>
      </c>
      <c r="D118" s="4"/>
      <c r="E118" s="90"/>
      <c r="F118" s="90"/>
      <c r="G118" s="4"/>
      <c r="H118" s="96"/>
      <c r="I118" s="96"/>
      <c r="J118" s="96"/>
      <c r="K118" s="96"/>
      <c r="L118" s="96"/>
      <c r="M118" s="95">
        <v>325</v>
      </c>
      <c r="N118" s="94">
        <v>340</v>
      </c>
      <c r="O118" s="94">
        <v>392</v>
      </c>
      <c r="P118" s="94">
        <v>379</v>
      </c>
      <c r="Q118" s="4"/>
    </row>
    <row r="119" s="1" customFormat="1" spans="1:17">
      <c r="A119" s="3"/>
      <c r="B119" s="88" t="s">
        <v>152</v>
      </c>
      <c r="C119" s="98" t="s">
        <v>48</v>
      </c>
      <c r="D119" s="4"/>
      <c r="E119" s="90"/>
      <c r="F119" s="90"/>
      <c r="G119" s="4"/>
      <c r="H119" s="96"/>
      <c r="I119" s="96"/>
      <c r="J119" s="96"/>
      <c r="K119" s="96"/>
      <c r="L119" s="96"/>
      <c r="M119" s="95">
        <v>325</v>
      </c>
      <c r="N119" s="94">
        <v>340</v>
      </c>
      <c r="O119" s="94">
        <v>380</v>
      </c>
      <c r="P119" s="94">
        <v>429</v>
      </c>
      <c r="Q119" s="4"/>
    </row>
    <row r="120" s="1" customFormat="1" spans="1:17">
      <c r="A120" s="3"/>
      <c r="B120" s="88" t="s">
        <v>153</v>
      </c>
      <c r="C120" s="98" t="s">
        <v>48</v>
      </c>
      <c r="D120" s="4"/>
      <c r="E120" s="90"/>
      <c r="F120" s="90"/>
      <c r="G120" s="4"/>
      <c r="H120" s="96"/>
      <c r="I120" s="96"/>
      <c r="J120" s="96"/>
      <c r="K120" s="96"/>
      <c r="L120" s="96"/>
      <c r="M120" s="95">
        <v>325</v>
      </c>
      <c r="N120" s="94">
        <v>340</v>
      </c>
      <c r="O120" s="94">
        <v>362</v>
      </c>
      <c r="P120" s="94">
        <v>376</v>
      </c>
      <c r="Q120" s="4"/>
    </row>
    <row r="121" s="1" customFormat="1" spans="1:17">
      <c r="A121" s="3"/>
      <c r="B121" s="88" t="s">
        <v>154</v>
      </c>
      <c r="C121" s="98" t="s">
        <v>43</v>
      </c>
      <c r="D121" s="4"/>
      <c r="E121" s="90"/>
      <c r="F121" s="90"/>
      <c r="G121" s="4"/>
      <c r="H121" s="96"/>
      <c r="I121" s="96"/>
      <c r="J121" s="96"/>
      <c r="K121" s="96"/>
      <c r="L121" s="96"/>
      <c r="M121" s="95">
        <v>325</v>
      </c>
      <c r="N121" s="94">
        <v>340</v>
      </c>
      <c r="O121" s="94">
        <v>348</v>
      </c>
      <c r="P121" s="94">
        <v>369</v>
      </c>
      <c r="Q121" s="4"/>
    </row>
    <row r="122" s="1" customFormat="1" spans="1:17">
      <c r="A122" s="3"/>
      <c r="B122" s="99" t="s">
        <v>155</v>
      </c>
      <c r="C122" s="98" t="s">
        <v>36</v>
      </c>
      <c r="D122" s="4"/>
      <c r="E122" s="90"/>
      <c r="F122" s="90"/>
      <c r="G122" s="4"/>
      <c r="H122" s="96"/>
      <c r="I122" s="96"/>
      <c r="J122" s="96"/>
      <c r="K122" s="96"/>
      <c r="L122" s="96"/>
      <c r="M122" s="95">
        <v>325</v>
      </c>
      <c r="N122" s="94">
        <v>340</v>
      </c>
      <c r="O122" s="94">
        <v>345</v>
      </c>
      <c r="P122" s="94">
        <v>412</v>
      </c>
      <c r="Q122" s="4"/>
    </row>
    <row r="123" s="1" customFormat="1" spans="1:17">
      <c r="A123" s="3"/>
      <c r="B123" s="99" t="s">
        <v>156</v>
      </c>
      <c r="C123" s="98" t="s">
        <v>21</v>
      </c>
      <c r="D123" s="4"/>
      <c r="E123" s="90"/>
      <c r="F123" s="90"/>
      <c r="G123" s="4"/>
      <c r="H123" s="96"/>
      <c r="I123" s="96"/>
      <c r="J123" s="96"/>
      <c r="K123" s="96"/>
      <c r="L123" s="96"/>
      <c r="M123" s="95">
        <v>325</v>
      </c>
      <c r="N123" s="94">
        <v>340</v>
      </c>
      <c r="O123" s="94">
        <v>333</v>
      </c>
      <c r="P123" s="94">
        <v>365</v>
      </c>
      <c r="Q123" s="4"/>
    </row>
    <row r="124" s="1" customFormat="1" spans="1:17">
      <c r="A124" s="3"/>
      <c r="B124" s="99" t="s">
        <v>157</v>
      </c>
      <c r="C124" s="98" t="s">
        <v>54</v>
      </c>
      <c r="D124" s="4"/>
      <c r="E124" s="90"/>
      <c r="F124" s="90"/>
      <c r="G124" s="4"/>
      <c r="H124" s="96"/>
      <c r="I124" s="96"/>
      <c r="J124" s="96"/>
      <c r="K124" s="96"/>
      <c r="L124" s="96"/>
      <c r="M124" s="95">
        <v>325</v>
      </c>
      <c r="N124" s="94">
        <v>340</v>
      </c>
      <c r="O124" s="94">
        <v>300</v>
      </c>
      <c r="P124" s="94">
        <v>352</v>
      </c>
      <c r="Q124" s="4"/>
    </row>
    <row r="125" s="1" customFormat="1" spans="1:17">
      <c r="A125" s="3"/>
      <c r="B125" s="99" t="s">
        <v>158</v>
      </c>
      <c r="C125" s="98" t="s">
        <v>45</v>
      </c>
      <c r="D125" s="4"/>
      <c r="E125" s="90"/>
      <c r="F125" s="90"/>
      <c r="G125" s="4"/>
      <c r="H125" s="96"/>
      <c r="I125" s="96"/>
      <c r="J125" s="96"/>
      <c r="K125" s="96"/>
      <c r="L125" s="96"/>
      <c r="M125" s="95">
        <v>325</v>
      </c>
      <c r="N125" s="94">
        <v>340</v>
      </c>
      <c r="O125" s="94">
        <v>300</v>
      </c>
      <c r="P125" s="94">
        <v>345</v>
      </c>
      <c r="Q125" s="4"/>
    </row>
    <row r="126" s="1" customFormat="1" spans="1:17">
      <c r="A126" s="3"/>
      <c r="B126" s="99" t="s">
        <v>159</v>
      </c>
      <c r="C126" s="98" t="s">
        <v>54</v>
      </c>
      <c r="D126" s="4"/>
      <c r="E126" s="90"/>
      <c r="F126" s="90"/>
      <c r="G126" s="4"/>
      <c r="H126" s="96"/>
      <c r="I126" s="96"/>
      <c r="J126" s="96"/>
      <c r="K126" s="96"/>
      <c r="L126" s="96"/>
      <c r="M126" s="95">
        <v>325</v>
      </c>
      <c r="N126" s="94">
        <v>340</v>
      </c>
      <c r="O126" s="94">
        <v>300</v>
      </c>
      <c r="P126" s="94">
        <v>0</v>
      </c>
      <c r="Q126" s="4"/>
    </row>
    <row r="127" s="1" customFormat="1" spans="1:17">
      <c r="A127" s="3"/>
      <c r="B127" s="99" t="s">
        <v>160</v>
      </c>
      <c r="C127" s="98" t="s">
        <v>36</v>
      </c>
      <c r="D127" s="4"/>
      <c r="E127" s="90"/>
      <c r="F127" s="90"/>
      <c r="G127" s="4"/>
      <c r="H127" s="96"/>
      <c r="I127" s="96"/>
      <c r="J127" s="96"/>
      <c r="K127" s="96"/>
      <c r="L127" s="96"/>
      <c r="M127" s="95">
        <v>325</v>
      </c>
      <c r="N127" s="94">
        <v>340</v>
      </c>
      <c r="O127" s="94">
        <v>300</v>
      </c>
      <c r="P127" s="94">
        <v>345</v>
      </c>
      <c r="Q127" s="4"/>
    </row>
    <row r="128" s="1" customFormat="1" spans="1:17">
      <c r="A128" s="3"/>
      <c r="B128" s="99" t="s">
        <v>161</v>
      </c>
      <c r="C128" s="98" t="s">
        <v>36</v>
      </c>
      <c r="D128" s="4"/>
      <c r="E128" s="90"/>
      <c r="F128" s="90"/>
      <c r="G128" s="4"/>
      <c r="H128" s="96"/>
      <c r="I128" s="96"/>
      <c r="J128" s="96"/>
      <c r="K128" s="96"/>
      <c r="L128" s="96"/>
      <c r="M128" s="95">
        <v>325</v>
      </c>
      <c r="N128" s="94">
        <v>340</v>
      </c>
      <c r="O128" s="94">
        <v>290</v>
      </c>
      <c r="P128" s="94">
        <v>364</v>
      </c>
      <c r="Q128" s="4"/>
    </row>
    <row r="129" s="1" customFormat="1" spans="1:17">
      <c r="A129" s="3"/>
      <c r="B129" s="99" t="s">
        <v>162</v>
      </c>
      <c r="C129" s="98" t="s">
        <v>43</v>
      </c>
      <c r="D129" s="4"/>
      <c r="E129" s="90"/>
      <c r="F129" s="90"/>
      <c r="G129" s="4"/>
      <c r="H129" s="96"/>
      <c r="I129" s="96"/>
      <c r="J129" s="96"/>
      <c r="K129" s="96"/>
      <c r="L129" s="96"/>
      <c r="M129" s="95">
        <v>325</v>
      </c>
      <c r="N129" s="94">
        <v>340</v>
      </c>
      <c r="O129" s="94">
        <v>290</v>
      </c>
      <c r="P129" s="94">
        <v>0</v>
      </c>
      <c r="Q129" s="4"/>
    </row>
    <row r="130" s="1" customFormat="1" spans="1:17">
      <c r="A130" s="3"/>
      <c r="B130" s="99" t="s">
        <v>163</v>
      </c>
      <c r="C130" s="98" t="s">
        <v>43</v>
      </c>
      <c r="D130" s="4"/>
      <c r="E130" s="90"/>
      <c r="F130" s="90"/>
      <c r="G130" s="4"/>
      <c r="H130" s="96"/>
      <c r="I130" s="96"/>
      <c r="J130" s="96"/>
      <c r="K130" s="96"/>
      <c r="L130" s="96"/>
      <c r="M130" s="95">
        <v>325</v>
      </c>
      <c r="N130" s="94">
        <v>340</v>
      </c>
      <c r="O130" s="94">
        <v>280</v>
      </c>
      <c r="P130" s="94">
        <v>368</v>
      </c>
      <c r="Q130" s="4"/>
    </row>
    <row r="131" s="1" customFormat="1" spans="1:17">
      <c r="A131" s="3"/>
      <c r="B131" s="99" t="s">
        <v>164</v>
      </c>
      <c r="C131" s="98" t="s">
        <v>36</v>
      </c>
      <c r="D131" s="4"/>
      <c r="E131" s="90"/>
      <c r="F131" s="90"/>
      <c r="G131" s="4"/>
      <c r="H131" s="96"/>
      <c r="I131" s="96"/>
      <c r="J131" s="96"/>
      <c r="K131" s="96"/>
      <c r="L131" s="96"/>
      <c r="M131" s="95">
        <v>325</v>
      </c>
      <c r="N131" s="94">
        <v>340</v>
      </c>
      <c r="O131" s="94">
        <v>280</v>
      </c>
      <c r="P131" s="94">
        <v>345</v>
      </c>
      <c r="Q131" s="4"/>
    </row>
    <row r="132" s="1" customFormat="1" spans="1:17">
      <c r="A132" s="3"/>
      <c r="B132" s="99" t="s">
        <v>165</v>
      </c>
      <c r="C132" s="98" t="s">
        <v>32</v>
      </c>
      <c r="D132" s="4"/>
      <c r="E132" s="90"/>
      <c r="F132" s="90"/>
      <c r="G132" s="4"/>
      <c r="H132" s="96"/>
      <c r="I132" s="96"/>
      <c r="J132" s="96"/>
      <c r="K132" s="96"/>
      <c r="L132" s="96"/>
      <c r="M132" s="95">
        <v>325</v>
      </c>
      <c r="N132" s="94">
        <v>340</v>
      </c>
      <c r="O132" s="94">
        <v>270</v>
      </c>
      <c r="P132" s="94">
        <v>300</v>
      </c>
      <c r="Q132" s="4"/>
    </row>
    <row r="133" s="1" customFormat="1" spans="1:17">
      <c r="A133" s="3"/>
      <c r="B133" s="88" t="s">
        <v>166</v>
      </c>
      <c r="C133" s="89" t="s">
        <v>32</v>
      </c>
      <c r="D133" s="4"/>
      <c r="E133" s="90"/>
      <c r="F133" s="90"/>
      <c r="G133" s="4"/>
      <c r="H133" s="96"/>
      <c r="I133" s="96"/>
      <c r="J133" s="96"/>
      <c r="K133" s="96"/>
      <c r="L133" s="96"/>
      <c r="M133" s="95">
        <v>325</v>
      </c>
      <c r="N133" s="94">
        <v>340</v>
      </c>
      <c r="O133" s="94">
        <v>260</v>
      </c>
      <c r="P133" s="94">
        <v>347</v>
      </c>
      <c r="Q133" s="4"/>
    </row>
    <row r="134" s="1" customFormat="1" spans="1:17">
      <c r="A134" s="3"/>
      <c r="B134" s="99" t="s">
        <v>167</v>
      </c>
      <c r="C134" s="98" t="s">
        <v>36</v>
      </c>
      <c r="D134" s="4"/>
      <c r="E134" s="90"/>
      <c r="F134" s="90"/>
      <c r="G134" s="4"/>
      <c r="H134" s="96"/>
      <c r="I134" s="96"/>
      <c r="J134" s="96"/>
      <c r="K134" s="96"/>
      <c r="L134" s="96"/>
      <c r="M134" s="95">
        <v>325</v>
      </c>
      <c r="N134" s="94">
        <v>340</v>
      </c>
      <c r="O134" s="94">
        <v>240</v>
      </c>
      <c r="P134" s="94">
        <v>345</v>
      </c>
      <c r="Q134" s="4"/>
    </row>
    <row r="135" s="1" customFormat="1" spans="1:17">
      <c r="A135" s="3"/>
      <c r="B135" s="99" t="s">
        <v>168</v>
      </c>
      <c r="C135" s="98" t="s">
        <v>54</v>
      </c>
      <c r="D135" s="4"/>
      <c r="E135" s="90"/>
      <c r="F135" s="90"/>
      <c r="G135" s="4"/>
      <c r="H135" s="96"/>
      <c r="I135" s="96"/>
      <c r="J135" s="96"/>
      <c r="K135" s="96"/>
      <c r="L135" s="96"/>
      <c r="M135" s="95">
        <v>325</v>
      </c>
      <c r="N135" s="94">
        <v>340</v>
      </c>
      <c r="O135" s="94">
        <v>230</v>
      </c>
      <c r="P135" s="94">
        <v>345</v>
      </c>
      <c r="Q135" s="4"/>
    </row>
    <row r="136" s="1" customFormat="1" spans="1:17">
      <c r="A136" s="3"/>
      <c r="B136" s="99" t="s">
        <v>169</v>
      </c>
      <c r="C136" s="98" t="s">
        <v>32</v>
      </c>
      <c r="D136" s="4"/>
      <c r="E136" s="90"/>
      <c r="F136" s="90"/>
      <c r="G136" s="4"/>
      <c r="H136" s="96"/>
      <c r="I136" s="96"/>
      <c r="J136" s="96"/>
      <c r="K136" s="96"/>
      <c r="L136" s="96"/>
      <c r="M136" s="95">
        <v>325</v>
      </c>
      <c r="N136" s="94">
        <v>340</v>
      </c>
      <c r="O136" s="94">
        <v>230</v>
      </c>
      <c r="P136" s="94">
        <v>345</v>
      </c>
      <c r="Q136" s="4"/>
    </row>
    <row r="137" s="1" customFormat="1" spans="1:17">
      <c r="A137" s="3"/>
      <c r="B137" s="88" t="s">
        <v>170</v>
      </c>
      <c r="C137" s="89" t="s">
        <v>43</v>
      </c>
      <c r="D137" s="4"/>
      <c r="E137" s="90"/>
      <c r="F137" s="90"/>
      <c r="G137" s="4"/>
      <c r="H137" s="96"/>
      <c r="I137" s="96"/>
      <c r="J137" s="96"/>
      <c r="K137" s="96"/>
      <c r="L137" s="96"/>
      <c r="M137" s="95">
        <v>325</v>
      </c>
      <c r="N137" s="94">
        <v>340</v>
      </c>
      <c r="O137" s="94">
        <v>230</v>
      </c>
      <c r="P137" s="94">
        <v>345</v>
      </c>
      <c r="Q137" s="4"/>
    </row>
    <row r="138" s="1" customFormat="1" spans="1:17">
      <c r="A138" s="3"/>
      <c r="B138" s="88" t="s">
        <v>171</v>
      </c>
      <c r="C138" s="89" t="s">
        <v>36</v>
      </c>
      <c r="D138" s="4"/>
      <c r="E138" s="90"/>
      <c r="F138" s="90"/>
      <c r="G138" s="4"/>
      <c r="H138" s="96"/>
      <c r="I138" s="96"/>
      <c r="J138" s="96"/>
      <c r="K138" s="96"/>
      <c r="L138" s="96"/>
      <c r="M138" s="95">
        <v>325</v>
      </c>
      <c r="N138" s="94">
        <v>340</v>
      </c>
      <c r="O138" s="94">
        <v>230</v>
      </c>
      <c r="P138" s="94">
        <v>0</v>
      </c>
      <c r="Q138" s="4"/>
    </row>
    <row r="139" s="1" customFormat="1" spans="1:17">
      <c r="A139" s="3"/>
      <c r="B139" s="99" t="s">
        <v>172</v>
      </c>
      <c r="C139" s="98" t="s">
        <v>54</v>
      </c>
      <c r="D139" s="4"/>
      <c r="E139" s="90"/>
      <c r="F139" s="90"/>
      <c r="G139" s="4"/>
      <c r="H139" s="96"/>
      <c r="I139" s="96"/>
      <c r="J139" s="96"/>
      <c r="K139" s="96"/>
      <c r="L139" s="96"/>
      <c r="M139" s="95">
        <v>325</v>
      </c>
      <c r="N139" s="94">
        <v>340</v>
      </c>
      <c r="O139" s="94">
        <v>230</v>
      </c>
      <c r="P139" s="94">
        <v>345</v>
      </c>
      <c r="Q139" s="4"/>
    </row>
    <row r="140" s="1" customFormat="1" spans="1:17">
      <c r="A140" s="3"/>
      <c r="B140" s="99" t="s">
        <v>173</v>
      </c>
      <c r="C140" s="98" t="s">
        <v>32</v>
      </c>
      <c r="D140" s="4"/>
      <c r="E140" s="90"/>
      <c r="F140" s="90"/>
      <c r="G140" s="4"/>
      <c r="H140" s="96"/>
      <c r="I140" s="96"/>
      <c r="J140" s="96"/>
      <c r="K140" s="96"/>
      <c r="L140" s="96"/>
      <c r="M140" s="95">
        <v>325</v>
      </c>
      <c r="N140" s="94">
        <v>340</v>
      </c>
      <c r="O140" s="94"/>
      <c r="P140" s="94"/>
      <c r="Q140" s="4"/>
    </row>
    <row r="141" s="1" customFormat="1" spans="1:17">
      <c r="A141" s="3"/>
      <c r="B141" s="99" t="s">
        <v>174</v>
      </c>
      <c r="C141" s="98" t="s">
        <v>43</v>
      </c>
      <c r="D141" s="4"/>
      <c r="E141" s="90"/>
      <c r="F141" s="90"/>
      <c r="G141" s="4"/>
      <c r="H141" s="96"/>
      <c r="I141" s="96"/>
      <c r="J141" s="96"/>
      <c r="K141" s="96"/>
      <c r="L141" s="96"/>
      <c r="M141" s="95">
        <v>325</v>
      </c>
      <c r="N141" s="94"/>
      <c r="O141" s="94"/>
      <c r="P141" s="94"/>
      <c r="Q141" s="4"/>
    </row>
    <row r="142" s="1" customFormat="1" spans="1:17">
      <c r="A142" s="3"/>
      <c r="B142" s="99" t="s">
        <v>175</v>
      </c>
      <c r="C142" s="98" t="s">
        <v>54</v>
      </c>
      <c r="D142" s="4"/>
      <c r="E142" s="90"/>
      <c r="F142" s="90"/>
      <c r="G142" s="4"/>
      <c r="H142" s="96"/>
      <c r="I142" s="96"/>
      <c r="J142" s="96"/>
      <c r="K142" s="96"/>
      <c r="L142" s="96"/>
      <c r="M142" s="95">
        <v>325</v>
      </c>
      <c r="N142" s="94"/>
      <c r="O142" s="94"/>
      <c r="P142" s="94"/>
      <c r="Q142" s="4"/>
    </row>
    <row r="143" s="1" customFormat="1" spans="1:17">
      <c r="A143" s="3"/>
      <c r="B143" s="100" t="s">
        <v>171</v>
      </c>
      <c r="C143" s="101" t="s">
        <v>21</v>
      </c>
      <c r="D143" s="4"/>
      <c r="E143" s="90"/>
      <c r="F143" s="90"/>
      <c r="G143" s="4"/>
      <c r="H143" s="96"/>
      <c r="I143" s="96"/>
      <c r="J143" s="96"/>
      <c r="K143" s="96"/>
      <c r="L143" s="96"/>
      <c r="M143" s="95">
        <v>325</v>
      </c>
      <c r="N143" s="94"/>
      <c r="O143" s="94"/>
      <c r="P143" s="94"/>
      <c r="Q143" s="4"/>
    </row>
  </sheetData>
  <autoFilter xmlns:etc="http://www.wps.cn/officeDocument/2017/etCustomData" ref="A3:Q143" etc:filterBottomFollowUsedRange="0">
    <extLst/>
  </autoFilter>
  <mergeCells count="3">
    <mergeCell ref="A1:Q1"/>
    <mergeCell ref="A2:E2"/>
    <mergeCell ref="N2:Q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深户AC类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梧桐论坛</dc:creator>
  <cp:lastModifiedBy>叮咚锤</cp:lastModifiedBy>
  <dcterms:created xsi:type="dcterms:W3CDTF">2026-01-10T14:45:36Z</dcterms:created>
  <dcterms:modified xsi:type="dcterms:W3CDTF">2026-01-10T14:45:36Z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0BF49F0A49C142E49044424AD6594DC8_11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